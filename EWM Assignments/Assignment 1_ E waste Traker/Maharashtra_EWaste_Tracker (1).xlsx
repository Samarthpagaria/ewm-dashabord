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corecard" sheetId="1" state="visible" r:id="rId3"/>
    <sheet name="Instructions" sheetId="2" state="visible" r:id="rId4"/>
    <sheet name="1_Generation_Inventory" sheetId="3" state="visible" r:id="rId5"/>
    <sheet name="2_Collection_Log" sheetId="4" state="visible" r:id="rId6"/>
    <sheet name="3_Recycling_Infrastructure" sheetId="5" state="visible" r:id="rId7"/>
    <sheet name="4_Compliance_Tracker" sheetId="6" state="visible" r:id="rId8"/>
    <sheet name="5_Informal_Sector_Hotspots" sheetId="7" state="visible" r:id="rId9"/>
    <sheet name="6_Env_Health_Monitoring" sheetId="8" state="visible" r:id="rId10"/>
    <sheet name="7_Awareness_Program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Population source: Census of India 2011 (district totals). Update with latest state government / projected figures if available.</t>
        </r>
      </text>
    </comment>
    <comment ref="N6" authorId="0">
      <text>
        <r>
          <rPr>
            <sz val="10"/>
            <rFont val="Arial"/>
            <family val="2"/>
          </rPr>
          <t xml:space="preserve">Estimate, not measured data. National e-waste generation ~16,01,155 tonnes/yr (CPCB, FY2021-22, PIB press release) over ~India population ~1.4bn implies ~1.1-1.2 kg/person/year; SDG India Index (2021) separately cites 2.4 kg/person/year. This model uses the more conservative CPCB-derived rate. Edit this cell to use a different rate.</t>
        </r>
      </text>
    </comment>
    <comment ref="N7" authorId="0">
      <text>
        <r>
          <rPr>
            <sz val="10"/>
            <rFont val="Arial"/>
            <family val="2"/>
          </rPr>
          <t xml:space="preserve">Share of total e-waste by EEE category. Estimated typical composition for India based on industry/CPCB category studies (ASSOCHAM-KPMG e-waste reports) - not district-specific measured data.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6" authorId="0">
      <text>
        <r>
          <rPr>
            <sz val="10"/>
            <rFont val="Arial"/>
            <family val="2"/>
          </rPr>
          <t xml:space="preserve">India's E-Waste EPR portal reported ~70.71% of the year's target quantity as collected/dismantled/recycled/disposed in FY2024-25 (up from ~61.94% in FY2023-24). Applied uniformly here as a national-average proxy for both 'Collected' and 'EPR Collection Achieved' - actual district-level performance varies and should replace this once known.</t>
        </r>
      </text>
    </comment>
    <comment ref="N7" authorId="0">
      <text>
        <r>
          <rPr>
            <sz val="10"/>
            <rFont val="Arial"/>
            <family val="2"/>
          </rPr>
          <t xml:space="preserve">E-Waste (Management) Rules, 2022, Schedule III: phased EPR recycling/collection targets are 60% (FY2023-24 to FY2024-25), 70% (FY2025-26 to FY2026-27), 80% (FY2027-28 onwards). This is a real regulatory requirement, not an estimate.</t>
        </r>
      </text>
    </comment>
  </commentList>
</comments>
</file>

<file path=xl/sharedStrings.xml><?xml version="1.0" encoding="utf-8"?>
<sst xmlns="http://schemas.openxmlformats.org/spreadsheetml/2006/main" count="1377" uniqueCount="511">
  <si>
    <t xml:space="preserve">State E-Waste Management Scorecard</t>
  </si>
  <si>
    <t xml:space="preserve">Live score out of 100, calculated from the 7 data sheets. Set benchmarks in the yellow 'Target/Benchmark' cells.</t>
  </si>
  <si>
    <t xml:space="preserve">STATE SCORE</t>
  </si>
  <si>
    <t xml:space="preserve">#</t>
  </si>
  <si>
    <t xml:space="preserve">Category</t>
  </si>
  <si>
    <t xml:space="preserve">Weight</t>
  </si>
  <si>
    <t xml:space="preserve">Benchmark / Target</t>
  </si>
  <si>
    <t xml:space="preserve">Achieved Value</t>
  </si>
  <si>
    <t xml:space="preserve">Achievement %</t>
  </si>
  <si>
    <t xml:space="preserve">Score Earned</t>
  </si>
  <si>
    <t xml:space="preserve">Generation &amp; Inventory</t>
  </si>
  <si>
    <t xml:space="preserve">Collection Performance</t>
  </si>
  <si>
    <t xml:space="preserve">Formal Recycling &amp; Treatment</t>
  </si>
  <si>
    <t xml:space="preserve">Regulatory Compliance</t>
  </si>
  <si>
    <t xml:space="preserve">Informal Sector Integration</t>
  </si>
  <si>
    <t xml:space="preserve">Environmental &amp; Health Safeguards</t>
  </si>
  <si>
    <t xml:space="preserve">Awareness &amp; Outreach</t>
  </si>
  <si>
    <t xml:space="preserve">TOTAL SCORE</t>
  </si>
  <si>
    <t xml:space="preserve">Score Bands:</t>
  </si>
  <si>
    <t xml:space="preserve">85-100</t>
  </si>
  <si>
    <t xml:space="preserve">Excellent</t>
  </si>
  <si>
    <t xml:space="preserve">65-84</t>
  </si>
  <si>
    <t xml:space="preserve">Good</t>
  </si>
  <si>
    <t xml:space="preserve">45-64</t>
  </si>
  <si>
    <t xml:space="preserve">Needs Improvement</t>
  </si>
  <si>
    <t xml:space="preserve">0-44</t>
  </si>
  <si>
    <t xml:space="preserve">Critical</t>
  </si>
  <si>
    <t xml:space="preserve">State E-Waste Management Tracker - Scoring Methodology</t>
  </si>
  <si>
    <t xml:space="preserve">A 100-point scorecard for monitoring state-level e-waste generation, collection, formal treatment, compliance, and health/environmental safeguards, in line with the E-Waste (Management) Rules, 2022 (CPCB, India).</t>
  </si>
  <si>
    <t xml:space="preserve">Indicators (data source sheet)</t>
  </si>
  <si>
    <t xml:space="preserve">District reporting completeness; category-wise breakup; annual inventory update  -&gt;  '1_Generation_Inventory'</t>
  </si>
  <si>
    <t xml:space="preserve">Collection rate (%); collection centers per million population; EPR collection-target achievement  -&gt;  '2_Collection_Log'</t>
  </si>
  <si>
    <t xml:space="preserve">% processed by authorized recyclers; installed capacity vs generation; material recovery rate  -&gt;  '3_Recycling_Infrastructure'</t>
  </si>
  <si>
    <t xml:space="preserve">% producers/EPR entities compliant; inspections conducted vs planned; penalties resolved  -&gt;  '4_Compliance_Tracker'</t>
  </si>
  <si>
    <t xml:space="preserve">% hotspots formalized/remediated; % informal workers registered/trained  -&gt;  '5_Informal_Sector_Hotspots'</t>
  </si>
  <si>
    <t xml:space="preserve">% hotspots environmentally monitored; health screening camps conducted  -&gt;  '6_Env_Health_Monitoring'</t>
  </si>
  <si>
    <t xml:space="preserve">Awareness campaigns vs target; collection drives vs target  -&gt;  '7_Awareness_Programs'</t>
  </si>
  <si>
    <t xml:space="preserve">TOTAL</t>
  </si>
  <si>
    <t xml:space="preserve">How to use this workbook</t>
  </si>
  <si>
    <t xml:space="preserve">- Enter data in the 7 numbered sheets (yellow cells = your input). Each sheet has one grey example row - replace/delete it.</t>
  </si>
  <si>
    <t xml:space="preserve">- Set your benchmarks/targets on the '0_Scorecard' sheet (yellow cells) - e.g. collection centers per million population, EPR targets, inspection/campaign targets.</t>
  </si>
  <si>
    <t xml:space="preserve">- The '0_Scorecard' sheet pulls live figures from all 7 sheets and computes the state's score out of 100 automatically. Do not overwrite formula cells.</t>
  </si>
  <si>
    <t xml:space="preserve">- Score bands (customisable on Scorecard): 85-100 Excellent | 65-84 Good | 45-64 Needs Improvement | Below 45 Critical.</t>
  </si>
  <si>
    <t xml:space="preserve">- Re-run this tracker every quarter/year to monitor trend - copy the Scorecard total into a tracking log for year-on-year comparison.</t>
  </si>
  <si>
    <t xml:space="preserve">Generation Inventory</t>
  </si>
  <si>
    <t xml:space="preserve">One row per district. All 36 Maharashtra districts pre-listed with 2011 Census population. Columns D-I are ESTIMATES modeled from population using the assumptions in columns M:N (not measured/reported data) - replace with actual survey figures as they become available.</t>
  </si>
  <si>
    <t xml:space="preserve">District</t>
  </si>
  <si>
    <t xml:space="preserve">Population</t>
  </si>
  <si>
    <t xml:space="preserve">IT &amp; Telecom (kg)</t>
  </si>
  <si>
    <t xml:space="preserve">Consumer Electrical &amp; Electronics (kg)</t>
  </si>
  <si>
    <t xml:space="preserve">Large &amp; Small Equipment (kg)</t>
  </si>
  <si>
    <t xml:space="preserve">Lighting Equipment (kg)</t>
  </si>
  <si>
    <t xml:space="preserve">Batteries (kg)</t>
  </si>
  <si>
    <t xml:space="preserve">Other (kg)</t>
  </si>
  <si>
    <t xml:space="preserve">Total Generated (kg)</t>
  </si>
  <si>
    <t xml:space="preserve">Date Last Updated</t>
  </si>
  <si>
    <t xml:space="preserve">ESTIMATION ASSUMPTIONS (edit these to recalculate all district figures)</t>
  </si>
  <si>
    <t xml:space="preserve">Ahilyanagar</t>
  </si>
  <si>
    <t xml:space="preserve">Estimated (per-capita model)</t>
  </si>
  <si>
    <t xml:space="preserve">Per-capita e-waste generation (kg/person/year)</t>
  </si>
  <si>
    <t xml:space="preserve">Akola</t>
  </si>
  <si>
    <t xml:space="preserve">IT &amp; Telecom share</t>
  </si>
  <si>
    <t xml:space="preserve">Amravati</t>
  </si>
  <si>
    <t xml:space="preserve">Consumer Electrical &amp; Electronics share</t>
  </si>
  <si>
    <t xml:space="preserve">Beed</t>
  </si>
  <si>
    <t xml:space="preserve">Large &amp; Small Equipment share</t>
  </si>
  <si>
    <t xml:space="preserve">Bhandara</t>
  </si>
  <si>
    <t xml:space="preserve">Lighting Equipment share</t>
  </si>
  <si>
    <t xml:space="preserve">Buldhana</t>
  </si>
  <si>
    <t xml:space="preserve">Batteries share</t>
  </si>
  <si>
    <t xml:space="preserve">Chandrapur</t>
  </si>
  <si>
    <t xml:space="preserve">Other share</t>
  </si>
  <si>
    <t xml:space="preserve">Chhatrapati Sambhajinagar</t>
  </si>
  <si>
    <t xml:space="preserve">Category shares total (should be 100%)</t>
  </si>
  <si>
    <t xml:space="preserve">Dharashiv</t>
  </si>
  <si>
    <t xml:space="preserve">Dhule</t>
  </si>
  <si>
    <t xml:space="preserve">Gadchiroli</t>
  </si>
  <si>
    <t xml:space="preserve">Gondia</t>
  </si>
  <si>
    <t xml:space="preserve">Hingoli</t>
  </si>
  <si>
    <t xml:space="preserve">Jalgaon</t>
  </si>
  <si>
    <t xml:space="preserve">Jalna</t>
  </si>
  <si>
    <t xml:space="preserve">Kolhapur</t>
  </si>
  <si>
    <t xml:space="preserve">Latur</t>
  </si>
  <si>
    <t xml:space="preserve">Mumbai City</t>
  </si>
  <si>
    <t xml:space="preserve">Mumbai Suburban</t>
  </si>
  <si>
    <t xml:space="preserve">Nagpur</t>
  </si>
  <si>
    <t xml:space="preserve">Nanded</t>
  </si>
  <si>
    <t xml:space="preserve">Nandurbar</t>
  </si>
  <si>
    <t xml:space="preserve">Nashik</t>
  </si>
  <si>
    <t xml:space="preserve">Palghar</t>
  </si>
  <si>
    <t xml:space="preserve">Parbhani</t>
  </si>
  <si>
    <t xml:space="preserve">Pune</t>
  </si>
  <si>
    <t xml:space="preserve">Raigad</t>
  </si>
  <si>
    <t xml:space="preserve">Ratnagiri</t>
  </si>
  <si>
    <t xml:space="preserve">Sangli</t>
  </si>
  <si>
    <t xml:space="preserve">Satara</t>
  </si>
  <si>
    <t xml:space="preserve">Sindhudurg</t>
  </si>
  <si>
    <t xml:space="preserve">Solapur</t>
  </si>
  <si>
    <t xml:space="preserve">Thane</t>
  </si>
  <si>
    <t xml:space="preserve">Wardha</t>
  </si>
  <si>
    <t xml:space="preserve">Washim</t>
  </si>
  <si>
    <t xml:space="preserve">Yavatmal</t>
  </si>
  <si>
    <t xml:space="preserve">STATE TOTAL</t>
  </si>
  <si>
    <t xml:space="preserve">Collection Log</t>
  </si>
  <si>
    <t xml:space="preserve">One row per district (same 36 districts, same order, as Sheet 1). 'Generated' auto-pulls from Sheet 1. 'Collected', 'EPR Target' and 'EPR Achieved' are ESTIMATES modeled from national regulatory targets/reporting (see assumptions, columns M:N) - replace with actual district figures as available. 'Registered Collection Centers' has no reliable national benchmark, so it stays a manual entry.</t>
  </si>
  <si>
    <t xml:space="preserve">Generated (kg) [from Sheet 1]</t>
  </si>
  <si>
    <t xml:space="preserve">Collected (kg)</t>
  </si>
  <si>
    <t xml:space="preserve">Registered Collection Centers</t>
  </si>
  <si>
    <t xml:space="preserve">EPR Collection Target (kg)</t>
  </si>
  <si>
    <t xml:space="preserve">EPR Collection Achieved (kg)</t>
  </si>
  <si>
    <t xml:space="preserve">Remarks</t>
  </si>
  <si>
    <t xml:space="preserve">Estimated (national-average model)</t>
  </si>
  <si>
    <t xml:space="preserve">National formal e-waste collection rate (FY2024-25, EPR portal reporting)</t>
  </si>
  <si>
    <t xml:space="preserve">EPR collection target rate (current phase: FY2025-26 to FY2026-27)</t>
  </si>
  <si>
    <t xml:space="preserve">Recycling Infrastructure</t>
  </si>
  <si>
    <t xml:space="preserve">One row per district. District is pre-filled for all 36 districts - enter the authorized recycler/dismantler operating there (leave blank if none yet registered; duplicate the row if a district has more than one). NOTE: rows shaded orange are SAMPLE/PLACEHOLDER data for illustration only - replace with real records.</t>
  </si>
  <si>
    <t xml:space="preserve">Recycler / Dismantler Name</t>
  </si>
  <si>
    <t xml:space="preserve">CPCB/SPCB Authorization No.</t>
  </si>
  <si>
    <t xml:space="preserve">Installed Capacity (tonnes/yr)</t>
  </si>
  <si>
    <t xml:space="preserve">Quantity Processed This Year (tonnes)</t>
  </si>
  <si>
    <t xml:space="preserve">Material Recovery Rate (%)</t>
  </si>
  <si>
    <t xml:space="preserve">Authorization Valid Till</t>
  </si>
  <si>
    <t xml:space="preserve">Ahilyanagar E-Waste Recyclers Pvt. Ltd.</t>
  </si>
  <si>
    <t xml:space="preserve">MPCB/EW/2024/1000</t>
  </si>
  <si>
    <t xml:space="preserve">31-Mar-2027</t>
  </si>
  <si>
    <t xml:space="preserve">Akola E-Waste Recyclers Pvt. Ltd.</t>
  </si>
  <si>
    <t xml:space="preserve">MPCB/EW/2024/1001</t>
  </si>
  <si>
    <t xml:space="preserve">Amravati E-Waste Recyclers Pvt. Ltd.</t>
  </si>
  <si>
    <t xml:space="preserve">MPCB/EW/2024/1002</t>
  </si>
  <si>
    <t xml:space="preserve">Beed E-Waste Recyclers Pvt. Ltd.</t>
  </si>
  <si>
    <t xml:space="preserve">MPCB/EW/2024/1003</t>
  </si>
  <si>
    <t xml:space="preserve">Bhandara E-Waste Recyclers Pvt. Ltd.</t>
  </si>
  <si>
    <t xml:space="preserve">MPCB/EW/2024/1004</t>
  </si>
  <si>
    <t xml:space="preserve">Buldhana E-Waste Recyclers Pvt. Ltd.</t>
  </si>
  <si>
    <t xml:space="preserve">MPCB/EW/2024/1005</t>
  </si>
  <si>
    <t xml:space="preserve">Chandrapur E-Waste Recyclers Pvt. Ltd.</t>
  </si>
  <si>
    <t xml:space="preserve">MPCB/EW/2024/1006</t>
  </si>
  <si>
    <t xml:space="preserve">Chhatrapati Sambhajinagar E-Waste Recyclers Pvt. Ltd.</t>
  </si>
  <si>
    <t xml:space="preserve">MPCB/EW/2024/1007</t>
  </si>
  <si>
    <t xml:space="preserve">Dharashiv E-Waste Recyclers Pvt. Ltd.</t>
  </si>
  <si>
    <t xml:space="preserve">MPCB/EW/2024/1008</t>
  </si>
  <si>
    <t xml:space="preserve">Dhule E-Waste Recyclers Pvt. Ltd.</t>
  </si>
  <si>
    <t xml:space="preserve">MPCB/EW/2024/1009</t>
  </si>
  <si>
    <t xml:space="preserve">Gadchiroli E-Waste Recyclers Pvt. Ltd.</t>
  </si>
  <si>
    <t xml:space="preserve">MPCB/EW/2024/1010</t>
  </si>
  <si>
    <t xml:space="preserve">Gondia E-Waste Recyclers Pvt. Ltd.</t>
  </si>
  <si>
    <t xml:space="preserve">MPCB/EW/2024/1011</t>
  </si>
  <si>
    <t xml:space="preserve">Hingoli E-Waste Recyclers Pvt. Ltd.</t>
  </si>
  <si>
    <t xml:space="preserve">MPCB/EW/2024/1012</t>
  </si>
  <si>
    <t xml:space="preserve">Jalgaon E-Waste Recyclers Pvt. Ltd.</t>
  </si>
  <si>
    <t xml:space="preserve">MPCB/EW/2024/1013</t>
  </si>
  <si>
    <t xml:space="preserve">Jalna E-Waste Recyclers Pvt. Ltd.</t>
  </si>
  <si>
    <t xml:space="preserve">MPCB/EW/2024/1014</t>
  </si>
  <si>
    <t xml:space="preserve">Kolhapur E-Waste Recyclers Pvt. Ltd.</t>
  </si>
  <si>
    <t xml:space="preserve">MPCB/EW/2024/1015</t>
  </si>
  <si>
    <t xml:space="preserve">Latur E-Waste Recyclers Pvt. Ltd.</t>
  </si>
  <si>
    <t xml:space="preserve">MPCB/EW/2024/1016</t>
  </si>
  <si>
    <t xml:space="preserve">Mumbai City E-Waste Recyclers Pvt. Ltd.</t>
  </si>
  <si>
    <t xml:space="preserve">MPCB/EW/2024/1017</t>
  </si>
  <si>
    <t xml:space="preserve">Mumbai Suburban E-Waste Recyclers Pvt. Ltd.</t>
  </si>
  <si>
    <t xml:space="preserve">MPCB/EW/2024/1018</t>
  </si>
  <si>
    <t xml:space="preserve">Nagpur E-Waste Recyclers Pvt. Ltd.</t>
  </si>
  <si>
    <t xml:space="preserve">MPCB/EW/2024/1019</t>
  </si>
  <si>
    <t xml:space="preserve">Nanded E-Waste Recyclers Pvt. Ltd.</t>
  </si>
  <si>
    <t xml:space="preserve">MPCB/EW/2024/1020</t>
  </si>
  <si>
    <t xml:space="preserve">Nandurbar E-Waste Recyclers Pvt. Ltd.</t>
  </si>
  <si>
    <t xml:space="preserve">MPCB/EW/2024/1021</t>
  </si>
  <si>
    <t xml:space="preserve">Nashik E-Waste Recyclers Pvt. Ltd.</t>
  </si>
  <si>
    <t xml:space="preserve">MPCB/EW/2024/1022</t>
  </si>
  <si>
    <t xml:space="preserve">Palghar E-Waste Recyclers Pvt. Ltd.</t>
  </si>
  <si>
    <t xml:space="preserve">MPCB/EW/2024/1023</t>
  </si>
  <si>
    <t xml:space="preserve">Parbhani E-Waste Recyclers Pvt. Ltd.</t>
  </si>
  <si>
    <t xml:space="preserve">MPCB/EW/2024/1024</t>
  </si>
  <si>
    <t xml:space="preserve">Pune E-Waste Recyclers Pvt. Ltd.</t>
  </si>
  <si>
    <t xml:space="preserve">MPCB/EW/2024/1025</t>
  </si>
  <si>
    <t xml:space="preserve">Raigad E-Waste Recyclers Pvt. Ltd.</t>
  </si>
  <si>
    <t xml:space="preserve">MPCB/EW/2024/1026</t>
  </si>
  <si>
    <t xml:space="preserve">Ratnagiri E-Waste Recyclers Pvt. Ltd.</t>
  </si>
  <si>
    <t xml:space="preserve">MPCB/EW/2024/1027</t>
  </si>
  <si>
    <t xml:space="preserve">Sangli E-Waste Recyclers Pvt. Ltd.</t>
  </si>
  <si>
    <t xml:space="preserve">MPCB/EW/2024/1028</t>
  </si>
  <si>
    <t xml:space="preserve">Satara E-Waste Recyclers Pvt. Ltd.</t>
  </si>
  <si>
    <t xml:space="preserve">MPCB/EW/2024/1029</t>
  </si>
  <si>
    <t xml:space="preserve">Sindhudurg E-Waste Recyclers Pvt. Ltd.</t>
  </si>
  <si>
    <t xml:space="preserve">MPCB/EW/2024/1030</t>
  </si>
  <si>
    <t xml:space="preserve">Solapur E-Waste Recyclers Pvt. Ltd.</t>
  </si>
  <si>
    <t xml:space="preserve">MPCB/EW/2024/1031</t>
  </si>
  <si>
    <t xml:space="preserve">Thane E-Waste Recyclers Pvt. Ltd.</t>
  </si>
  <si>
    <t xml:space="preserve">MPCB/EW/2024/1032</t>
  </si>
  <si>
    <t xml:space="preserve">Wardha E-Waste Recyclers Pvt. Ltd.</t>
  </si>
  <si>
    <t xml:space="preserve">MPCB/EW/2024/1033</t>
  </si>
  <si>
    <t xml:space="preserve">Washim E-Waste Recyclers Pvt. Ltd.</t>
  </si>
  <si>
    <t xml:space="preserve">MPCB/EW/2024/1034</t>
  </si>
  <si>
    <t xml:space="preserve">Yavatmal E-Waste Recyclers Pvt. Ltd.</t>
  </si>
  <si>
    <t xml:space="preserve">MPCB/EW/2024/1035</t>
  </si>
  <si>
    <t xml:space="preserve">Compliance Tracker</t>
  </si>
  <si>
    <t xml:space="preserve">One row per district. District is pre-filled for all 36 districts - enter the registered producer / EPR entity in that district (leave blank if none yet registered; duplicate the row if a district has more than one). NOTE: rows shaded orange are SAMPLE/PLACEHOLDER data for illustration only - replace with real records.</t>
  </si>
  <si>
    <t xml:space="preserve">Producer / EPR Entity</t>
  </si>
  <si>
    <t xml:space="preserve">EPR Registration No.</t>
  </si>
  <si>
    <t xml:space="preserve">Compliance Status</t>
  </si>
  <si>
    <t xml:space="preserve">Inspection Planned (Y/N)</t>
  </si>
  <si>
    <t xml:space="preserve">Inspection Conducted (Y/N)</t>
  </si>
  <si>
    <t xml:space="preserve">Penalty / Show-Cause Issued (Y/N)</t>
  </si>
  <si>
    <t xml:space="preserve">Penalty Resolved (Y/N)</t>
  </si>
  <si>
    <t xml:space="preserve">Ahilyanagar Electronics Producers Pvt. Ltd.</t>
  </si>
  <si>
    <t xml:space="preserve">EPR/MH/2024/2000</t>
  </si>
  <si>
    <t xml:space="preserve">Compliant</t>
  </si>
  <si>
    <t xml:space="preserve">No</t>
  </si>
  <si>
    <t xml:space="preserve">Yes</t>
  </si>
  <si>
    <t xml:space="preserve">Sample data</t>
  </si>
  <si>
    <t xml:space="preserve">Akola Electronics Producers Pvt. Ltd.</t>
  </si>
  <si>
    <t xml:space="preserve">EPR/MH/2024/2001</t>
  </si>
  <si>
    <t xml:space="preserve">Under Review</t>
  </si>
  <si>
    <t xml:space="preserve">Amravati Electronics Producers Pvt. Ltd.</t>
  </si>
  <si>
    <t xml:space="preserve">EPR/MH/2024/2002</t>
  </si>
  <si>
    <t xml:space="preserve">Beed Electronics Producers Pvt. Ltd.</t>
  </si>
  <si>
    <t xml:space="preserve">EPR/MH/2024/2003</t>
  </si>
  <si>
    <t xml:space="preserve">Bhandara Electronics Producers Pvt. Ltd.</t>
  </si>
  <si>
    <t xml:space="preserve">EPR/MH/2024/2004</t>
  </si>
  <si>
    <t xml:space="preserve">Buldhana Electronics Producers Pvt. Ltd.</t>
  </si>
  <si>
    <t xml:space="preserve">EPR/MH/2024/2005</t>
  </si>
  <si>
    <t xml:space="preserve">Chandrapur Electronics Producers Pvt. Ltd.</t>
  </si>
  <si>
    <t xml:space="preserve">EPR/MH/2024/2006</t>
  </si>
  <si>
    <t xml:space="preserve">Chhatrapati Sambhajinagar Electronics Producers Pvt. Ltd.</t>
  </si>
  <si>
    <t xml:space="preserve">EPR/MH/2024/2007</t>
  </si>
  <si>
    <t xml:space="preserve">Dharashiv Electronics Producers Pvt. Ltd.</t>
  </si>
  <si>
    <t xml:space="preserve">EPR/MH/2024/2008</t>
  </si>
  <si>
    <t xml:space="preserve">Dhule Electronics Producers Pvt. Ltd.</t>
  </si>
  <si>
    <t xml:space="preserve">EPR/MH/2024/2009</t>
  </si>
  <si>
    <t xml:space="preserve">Gadchiroli Electronics Producers Pvt. Ltd.</t>
  </si>
  <si>
    <t xml:space="preserve">EPR/MH/2024/2010</t>
  </si>
  <si>
    <t xml:space="preserve">Gondia Electronics Producers Pvt. Ltd.</t>
  </si>
  <si>
    <t xml:space="preserve">EPR/MH/2024/2011</t>
  </si>
  <si>
    <t xml:space="preserve">Non-Compliant</t>
  </si>
  <si>
    <t xml:space="preserve">Hingoli Electronics Producers Pvt. Ltd.</t>
  </si>
  <si>
    <t xml:space="preserve">EPR/MH/2024/2012</t>
  </si>
  <si>
    <t xml:space="preserve">Jalgaon Electronics Producers Pvt. Ltd.</t>
  </si>
  <si>
    <t xml:space="preserve">EPR/MH/2024/2013</t>
  </si>
  <si>
    <t xml:space="preserve">Jalna Electronics Producers Pvt. Ltd.</t>
  </si>
  <si>
    <t xml:space="preserve">EPR/MH/2024/2014</t>
  </si>
  <si>
    <t xml:space="preserve">Kolhapur Electronics Producers Pvt. Ltd.</t>
  </si>
  <si>
    <t xml:space="preserve">EPR/MH/2024/2015</t>
  </si>
  <si>
    <t xml:space="preserve">Latur Electronics Producers Pvt. Ltd.</t>
  </si>
  <si>
    <t xml:space="preserve">EPR/MH/2024/2016</t>
  </si>
  <si>
    <t xml:space="preserve">Mumbai City Electronics Producers Pvt. Ltd.</t>
  </si>
  <si>
    <t xml:space="preserve">EPR/MH/2024/2017</t>
  </si>
  <si>
    <t xml:space="preserve">Mumbai Suburban Electronics Producers Pvt. Ltd.</t>
  </si>
  <si>
    <t xml:space="preserve">EPR/MH/2024/2018</t>
  </si>
  <si>
    <t xml:space="preserve">Nagpur Electronics Producers Pvt. Ltd.</t>
  </si>
  <si>
    <t xml:space="preserve">EPR/MH/2024/2019</t>
  </si>
  <si>
    <t xml:space="preserve">Nanded Electronics Producers Pvt. Ltd.</t>
  </si>
  <si>
    <t xml:space="preserve">EPR/MH/2024/2020</t>
  </si>
  <si>
    <t xml:space="preserve">Nandurbar Electronics Producers Pvt. Ltd.</t>
  </si>
  <si>
    <t xml:space="preserve">EPR/MH/2024/2021</t>
  </si>
  <si>
    <t xml:space="preserve">Nashik Electronics Producers Pvt. Ltd.</t>
  </si>
  <si>
    <t xml:space="preserve">EPR/MH/2024/2022</t>
  </si>
  <si>
    <t xml:space="preserve">Palghar Electronics Producers Pvt. Ltd.</t>
  </si>
  <si>
    <t xml:space="preserve">EPR/MH/2024/2023</t>
  </si>
  <si>
    <t xml:space="preserve">Parbhani Electronics Producers Pvt. Ltd.</t>
  </si>
  <si>
    <t xml:space="preserve">EPR/MH/2024/2024</t>
  </si>
  <si>
    <t xml:space="preserve">Pune Electronics Producers Pvt. Ltd.</t>
  </si>
  <si>
    <t xml:space="preserve">EPR/MH/2024/2025</t>
  </si>
  <si>
    <t xml:space="preserve">Raigad Electronics Producers Pvt. Ltd.</t>
  </si>
  <si>
    <t xml:space="preserve">EPR/MH/2024/2026</t>
  </si>
  <si>
    <t xml:space="preserve">Ratnagiri Electronics Producers Pvt. Ltd.</t>
  </si>
  <si>
    <t xml:space="preserve">EPR/MH/2024/2027</t>
  </si>
  <si>
    <t xml:space="preserve">Sangli Electronics Producers Pvt. Ltd.</t>
  </si>
  <si>
    <t xml:space="preserve">EPR/MH/2024/2028</t>
  </si>
  <si>
    <t xml:space="preserve">Satara Electronics Producers Pvt. Ltd.</t>
  </si>
  <si>
    <t xml:space="preserve">EPR/MH/2024/2029</t>
  </si>
  <si>
    <t xml:space="preserve">Sindhudurg Electronics Producers Pvt. Ltd.</t>
  </si>
  <si>
    <t xml:space="preserve">EPR/MH/2024/2030</t>
  </si>
  <si>
    <t xml:space="preserve">Solapur Electronics Producers Pvt. Ltd.</t>
  </si>
  <si>
    <t xml:space="preserve">EPR/MH/2024/2031</t>
  </si>
  <si>
    <t xml:space="preserve">Thane Electronics Producers Pvt. Ltd.</t>
  </si>
  <si>
    <t xml:space="preserve">EPR/MH/2024/2032</t>
  </si>
  <si>
    <t xml:space="preserve">Wardha Electronics Producers Pvt. Ltd.</t>
  </si>
  <si>
    <t xml:space="preserve">EPR/MH/2024/2033</t>
  </si>
  <si>
    <t xml:space="preserve">Washim Electronics Producers Pvt. Ltd.</t>
  </si>
  <si>
    <t xml:space="preserve">EPR/MH/2024/2034</t>
  </si>
  <si>
    <t xml:space="preserve">Yavatmal Electronics Producers Pvt. Ltd.</t>
  </si>
  <si>
    <t xml:space="preserve">EPR/MH/2024/2035</t>
  </si>
  <si>
    <t xml:space="preserve">Total Registered</t>
  </si>
  <si>
    <t xml:space="preserve">Inspections Planned</t>
  </si>
  <si>
    <t xml:space="preserve">Inspections Conducted</t>
  </si>
  <si>
    <t xml:space="preserve">Penalties Issued</t>
  </si>
  <si>
    <t xml:space="preserve">Penalties Resolved</t>
  </si>
  <si>
    <t xml:space="preserve">Informal Sector Hotspots</t>
  </si>
  <si>
    <t xml:space="preserve">One row per district. District is pre-filled for all 36 districts - enter known informal hotspots/clusters (leave blank if none known; duplicate the row for multiple hotspots in a district). NOTE: rows shaded orange are SAMPLE/PLACEHOLDER data for illustration only - replace with real records.</t>
  </si>
  <si>
    <t xml:space="preserve">Hotspot / Informal Cluster Name</t>
  </si>
  <si>
    <t xml:space="preserve">Status</t>
  </si>
  <si>
    <t xml:space="preserve">Estimated Informal Workers</t>
  </si>
  <si>
    <t xml:space="preserve">Workers Registered / Trained</t>
  </si>
  <si>
    <t xml:space="preserve">Formalization Action Taken</t>
  </si>
  <si>
    <t xml:space="preserve">Ahilyanagar Informal E-Waste Cluster</t>
  </si>
  <si>
    <t xml:space="preserve">Active</t>
  </si>
  <si>
    <t xml:space="preserve">Skill training organized</t>
  </si>
  <si>
    <t xml:space="preserve">Akola Informal E-Waste Cluster</t>
  </si>
  <si>
    <t xml:space="preserve">Under Monitoring</t>
  </si>
  <si>
    <t xml:space="preserve">Amravati Informal E-Waste Cluster</t>
  </si>
  <si>
    <t xml:space="preserve">Beed Informal E-Waste Cluster</t>
  </si>
  <si>
    <t xml:space="preserve">Formalized</t>
  </si>
  <si>
    <t xml:space="preserve">Registration assistance provided</t>
  </si>
  <si>
    <t xml:space="preserve">Bhandara Informal E-Waste Cluster</t>
  </si>
  <si>
    <t xml:space="preserve">None yet - action pending</t>
  </si>
  <si>
    <t xml:space="preserve">Buldhana Informal E-Waste Cluster</t>
  </si>
  <si>
    <t xml:space="preserve">Awareness drive conducted</t>
  </si>
  <si>
    <t xml:space="preserve">Chandrapur Informal E-Waste Cluster</t>
  </si>
  <si>
    <t xml:space="preserve">Chhatrapati Sambhajinagar Informal E-Waste Cluster</t>
  </si>
  <si>
    <t xml:space="preserve">Dharashiv Informal E-Waste Cluster</t>
  </si>
  <si>
    <t xml:space="preserve">Remediated</t>
  </si>
  <si>
    <t xml:space="preserve">Dhule Informal E-Waste Cluster</t>
  </si>
  <si>
    <t xml:space="preserve">Gadchiroli Informal E-Waste Cluster</t>
  </si>
  <si>
    <t xml:space="preserve">Gondia Informal E-Waste Cluster</t>
  </si>
  <si>
    <t xml:space="preserve">Hingoli Informal E-Waste Cluster</t>
  </si>
  <si>
    <t xml:space="preserve">Jalgaon Informal E-Waste Cluster</t>
  </si>
  <si>
    <t xml:space="preserve">Jalna Informal E-Waste Cluster</t>
  </si>
  <si>
    <t xml:space="preserve">Kolhapur Informal E-Waste Cluster</t>
  </si>
  <si>
    <t xml:space="preserve">Latur Informal E-Waste Cluster</t>
  </si>
  <si>
    <t xml:space="preserve">Mumbai City Informal E-Waste Cluster</t>
  </si>
  <si>
    <t xml:space="preserve">Mumbai Suburban Informal E-Waste Cluster</t>
  </si>
  <si>
    <t xml:space="preserve">Nagpur Informal E-Waste Cluster</t>
  </si>
  <si>
    <t xml:space="preserve">Nanded Informal E-Waste Cluster</t>
  </si>
  <si>
    <t xml:space="preserve">Nandurbar Informal E-Waste Cluster</t>
  </si>
  <si>
    <t xml:space="preserve">Nashik Informal E-Waste Cluster</t>
  </si>
  <si>
    <t xml:space="preserve">Palghar Informal E-Waste Cluster</t>
  </si>
  <si>
    <t xml:space="preserve">Parbhani Informal E-Waste Cluster</t>
  </si>
  <si>
    <t xml:space="preserve">Pune Informal E-Waste Cluster</t>
  </si>
  <si>
    <t xml:space="preserve">Raigad Informal E-Waste Cluster</t>
  </si>
  <si>
    <t xml:space="preserve">Ratnagiri Informal E-Waste Cluster</t>
  </si>
  <si>
    <t xml:space="preserve">Sangli Informal E-Waste Cluster</t>
  </si>
  <si>
    <t xml:space="preserve">Satara Informal E-Waste Cluster</t>
  </si>
  <si>
    <t xml:space="preserve">Sindhudurg Informal E-Waste Cluster</t>
  </si>
  <si>
    <t xml:space="preserve">Solapur Informal E-Waste Cluster</t>
  </si>
  <si>
    <t xml:space="preserve">Thane Informal E-Waste Cluster</t>
  </si>
  <si>
    <t xml:space="preserve">Wardha Informal E-Waste Cluster</t>
  </si>
  <si>
    <t xml:space="preserve">Washim Informal E-Waste Cluster</t>
  </si>
  <si>
    <t xml:space="preserve">Yavatmal Informal E-Waste Cluster</t>
  </si>
  <si>
    <t xml:space="preserve">Total Hotspots</t>
  </si>
  <si>
    <t xml:space="preserve">Formalized/Remediated</t>
  </si>
  <si>
    <t xml:space="preserve">Estimated Workers (Total)</t>
  </si>
  <si>
    <t xml:space="preserve">Workers Registered/Trained (Total)</t>
  </si>
  <si>
    <t xml:space="preserve">Env Health Monitoring</t>
  </si>
  <si>
    <t xml:space="preserve">One row per district. District is pre-filled for all 36 districts - log monitoring visits/health camps here (leave blank if none conducted; duplicate the row for multiple visits in a district). NOTE: rows shaded orange are SAMPLE/PLACEHOLDER data for illustration only - replace with real records.</t>
  </si>
  <si>
    <t xml:space="preserve">Site / Hotspot Monitored</t>
  </si>
  <si>
    <t xml:space="preserve">Monitoring Type</t>
  </si>
  <si>
    <t xml:space="preserve">Date</t>
  </si>
  <si>
    <t xml:space="preserve">Result</t>
  </si>
  <si>
    <t xml:space="preserve">Health Camp Conducted (Y/N)</t>
  </si>
  <si>
    <t xml:space="preserve">Beneficiaries Screened</t>
  </si>
  <si>
    <t xml:space="preserve">Ahilyanagar Monitoring Site 1</t>
  </si>
  <si>
    <t xml:space="preserve">Site Inspection</t>
  </si>
  <si>
    <t xml:space="preserve">22-Aug-2025</t>
  </si>
  <si>
    <t xml:space="preserve">Within Limits</t>
  </si>
  <si>
    <t xml:space="preserve">Akola Monitoring Site 1</t>
  </si>
  <si>
    <t xml:space="preserve">Water Quality Test</t>
  </si>
  <si>
    <t xml:space="preserve">03-Nov-2025</t>
  </si>
  <si>
    <t xml:space="preserve">Exceeds Limits</t>
  </si>
  <si>
    <t xml:space="preserve">Amravati Monitoring Site 1</t>
  </si>
  <si>
    <t xml:space="preserve">Soil Sampling</t>
  </si>
  <si>
    <t xml:space="preserve">22-Apr-2025</t>
  </si>
  <si>
    <t xml:space="preserve">Beed Monitoring Site 1</t>
  </si>
  <si>
    <t xml:space="preserve">02-Jan-2025</t>
  </si>
  <si>
    <t xml:space="preserve">Bhandara Monitoring Site 1</t>
  </si>
  <si>
    <t xml:space="preserve">14-Aug-2025</t>
  </si>
  <si>
    <t xml:space="preserve">Buldhana Monitoring Site 1</t>
  </si>
  <si>
    <t xml:space="preserve">08-Jul-2025</t>
  </si>
  <si>
    <t xml:space="preserve">Chandrapur Monitoring Site 1</t>
  </si>
  <si>
    <t xml:space="preserve">06-Apr-2025</t>
  </si>
  <si>
    <t xml:space="preserve">Pending Analysis</t>
  </si>
  <si>
    <t xml:space="preserve">Chhatrapati Sambhajinagar Monitoring Site 1</t>
  </si>
  <si>
    <t xml:space="preserve">05-Aug-2025</t>
  </si>
  <si>
    <t xml:space="preserve">Dharashiv Monitoring Site 1</t>
  </si>
  <si>
    <t xml:space="preserve">27-Oct-2025</t>
  </si>
  <si>
    <t xml:space="preserve">Dhule Monitoring Site 1</t>
  </si>
  <si>
    <t xml:space="preserve">28-Dec-2025</t>
  </si>
  <si>
    <t xml:space="preserve">Gadchiroli Monitoring Site 1</t>
  </si>
  <si>
    <t xml:space="preserve">Air Quality Test</t>
  </si>
  <si>
    <t xml:space="preserve">27-Apr-2025</t>
  </si>
  <si>
    <t xml:space="preserve">Gondia Monitoring Site 1</t>
  </si>
  <si>
    <t xml:space="preserve">15-May-2025</t>
  </si>
  <si>
    <t xml:space="preserve">Hingoli Monitoring Site 1</t>
  </si>
  <si>
    <t xml:space="preserve">11-May-2025</t>
  </si>
  <si>
    <t xml:space="preserve">Jalgaon Monitoring Site 1</t>
  </si>
  <si>
    <t xml:space="preserve">13-Apr-2025</t>
  </si>
  <si>
    <t xml:space="preserve">Jalna Monitoring Site 1</t>
  </si>
  <si>
    <t xml:space="preserve">11-Jul-2025</t>
  </si>
  <si>
    <t xml:space="preserve">Kolhapur Monitoring Site 1</t>
  </si>
  <si>
    <t xml:space="preserve">Latur Monitoring Site 1</t>
  </si>
  <si>
    <t xml:space="preserve">13-Oct-2025</t>
  </si>
  <si>
    <t xml:space="preserve">Mumbai City Monitoring Site 1</t>
  </si>
  <si>
    <t xml:space="preserve">28-Jul-2025</t>
  </si>
  <si>
    <t xml:space="preserve">Mumbai Suburban Monitoring Site 1</t>
  </si>
  <si>
    <t xml:space="preserve">14-May-2025</t>
  </si>
  <si>
    <t xml:space="preserve">Nagpur Monitoring Site 1</t>
  </si>
  <si>
    <t xml:space="preserve">22-Nov-2025</t>
  </si>
  <si>
    <t xml:space="preserve">Nanded Monitoring Site 1</t>
  </si>
  <si>
    <t xml:space="preserve">18-Oct-2025</t>
  </si>
  <si>
    <t xml:space="preserve">Nandurbar Monitoring Site 1</t>
  </si>
  <si>
    <t xml:space="preserve">21-Feb-2025</t>
  </si>
  <si>
    <t xml:space="preserve">Nashik Monitoring Site 1</t>
  </si>
  <si>
    <t xml:space="preserve">09-Jan-2025</t>
  </si>
  <si>
    <t xml:space="preserve">Palghar Monitoring Site 1</t>
  </si>
  <si>
    <t xml:space="preserve">11-Aug-2025</t>
  </si>
  <si>
    <t xml:space="preserve">Parbhani Monitoring Site 1</t>
  </si>
  <si>
    <t xml:space="preserve">09-Jul-2025</t>
  </si>
  <si>
    <t xml:space="preserve">Pune Monitoring Site 1</t>
  </si>
  <si>
    <t xml:space="preserve">18-Dec-2025</t>
  </si>
  <si>
    <t xml:space="preserve">Raigad Monitoring Site 1</t>
  </si>
  <si>
    <t xml:space="preserve">Ratnagiri Monitoring Site 1</t>
  </si>
  <si>
    <t xml:space="preserve">20-Jan-2025</t>
  </si>
  <si>
    <t xml:space="preserve">Sangli Monitoring Site 1</t>
  </si>
  <si>
    <t xml:space="preserve">04-Nov-2025</t>
  </si>
  <si>
    <t xml:space="preserve">Satara Monitoring Site 1</t>
  </si>
  <si>
    <t xml:space="preserve">06-Jun-2025</t>
  </si>
  <si>
    <t xml:space="preserve">Sindhudurg Monitoring Site 1</t>
  </si>
  <si>
    <t xml:space="preserve">01-Oct-2025</t>
  </si>
  <si>
    <t xml:space="preserve">Solapur Monitoring Site 1</t>
  </si>
  <si>
    <t xml:space="preserve">07-Dec-2025</t>
  </si>
  <si>
    <t xml:space="preserve">Thane Monitoring Site 1</t>
  </si>
  <si>
    <t xml:space="preserve">20-Nov-2025</t>
  </si>
  <si>
    <t xml:space="preserve">Wardha Monitoring Site 1</t>
  </si>
  <si>
    <t xml:space="preserve">12-Nov-2025</t>
  </si>
  <si>
    <t xml:space="preserve">Washim Monitoring Site 1</t>
  </si>
  <si>
    <t xml:space="preserve">27-Jul-2025</t>
  </si>
  <si>
    <t xml:space="preserve">Yavatmal Monitoring Site 1</t>
  </si>
  <si>
    <t xml:space="preserve">27-Nov-2025</t>
  </si>
  <si>
    <t xml:space="preserve">Distinct Sites Monitored</t>
  </si>
  <si>
    <t xml:space="preserve">Health Camps Conducted</t>
  </si>
  <si>
    <t xml:space="preserve">Total Beneficiaries Screened</t>
  </si>
  <si>
    <t xml:space="preserve">Awareness Programs</t>
  </si>
  <si>
    <t xml:space="preserve">One row per district. District is pre-filled for all 36 districts - log awareness campaigns/collection drives here (leave blank if none conducted; duplicate the row for multiple programs in a district). NOTE: rows shaded orange are SAMPLE/PLACEHOLDER data for illustration only - replace with real records.</t>
  </si>
  <si>
    <t xml:space="preserve">Program Name</t>
  </si>
  <si>
    <t xml:space="preserve">Type</t>
  </si>
  <si>
    <t xml:space="preserve">Target Audience</t>
  </si>
  <si>
    <t xml:space="preserve">Participants Reached</t>
  </si>
  <si>
    <t xml:space="preserve">Ahilyanagar E-Waste Awareness Campaign</t>
  </si>
  <si>
    <t xml:space="preserve">24-Mar-2025</t>
  </si>
  <si>
    <t xml:space="preserve">Public Awareness Workshop</t>
  </si>
  <si>
    <t xml:space="preserve">Retailers/Dealers</t>
  </si>
  <si>
    <t xml:space="preserve">Akola E-Waste Awareness Campaign</t>
  </si>
  <si>
    <t xml:space="preserve">Housing Societies</t>
  </si>
  <si>
    <t xml:space="preserve">Amravati E-Waste Awareness Campaign</t>
  </si>
  <si>
    <t xml:space="preserve">School Collection Drive</t>
  </si>
  <si>
    <t xml:space="preserve">Beed E-Waste Awareness Campaign</t>
  </si>
  <si>
    <t xml:space="preserve">08-Aug-2025</t>
  </si>
  <si>
    <t xml:space="preserve">Media Campaign</t>
  </si>
  <si>
    <t xml:space="preserve">Bhandara E-Waste Awareness Campaign</t>
  </si>
  <si>
    <t xml:space="preserve">16-Jan-2025</t>
  </si>
  <si>
    <t xml:space="preserve">General Public</t>
  </si>
  <si>
    <t xml:space="preserve">Buldhana E-Waste Awareness Campaign</t>
  </si>
  <si>
    <t xml:space="preserve">12-Apr-2025</t>
  </si>
  <si>
    <t xml:space="preserve">Chandrapur E-Waste Awareness Campaign</t>
  </si>
  <si>
    <t xml:space="preserve">23-Oct-2025</t>
  </si>
  <si>
    <t xml:space="preserve">Students</t>
  </si>
  <si>
    <t xml:space="preserve">Chhatrapati Sambhajinagar E-Waste Awareness Campaign</t>
  </si>
  <si>
    <t xml:space="preserve">03-Apr-2025</t>
  </si>
  <si>
    <t xml:space="preserve">RWA/Community Drive</t>
  </si>
  <si>
    <t xml:space="preserve">Dharashiv E-Waste Awareness Campaign</t>
  </si>
  <si>
    <t xml:space="preserve">25-Sep-2025</t>
  </si>
  <si>
    <t xml:space="preserve">Dhule E-Waste Awareness Campaign</t>
  </si>
  <si>
    <t xml:space="preserve">16-Dec-2025</t>
  </si>
  <si>
    <t xml:space="preserve">Gadchiroli E-Waste Awareness Campaign</t>
  </si>
  <si>
    <t xml:space="preserve">08-May-2025</t>
  </si>
  <si>
    <t xml:space="preserve">Gondia E-Waste Awareness Campaign</t>
  </si>
  <si>
    <t xml:space="preserve">19-Nov-2025</t>
  </si>
  <si>
    <t xml:space="preserve">Hingoli E-Waste Awareness Campaign</t>
  </si>
  <si>
    <t xml:space="preserve">12-Sep-2025</t>
  </si>
  <si>
    <t xml:space="preserve">Jalgaon E-Waste Awareness Campaign</t>
  </si>
  <si>
    <t xml:space="preserve">15-Dec-2025</t>
  </si>
  <si>
    <t xml:space="preserve">Jalna E-Waste Awareness Campaign</t>
  </si>
  <si>
    <t xml:space="preserve">04-Apr-2025</t>
  </si>
  <si>
    <t xml:space="preserve">Kolhapur E-Waste Awareness Campaign</t>
  </si>
  <si>
    <t xml:space="preserve">Latur E-Waste Awareness Campaign</t>
  </si>
  <si>
    <t xml:space="preserve">Mumbai City E-Waste Awareness Campaign</t>
  </si>
  <si>
    <t xml:space="preserve">10-Apr-2025</t>
  </si>
  <si>
    <t xml:space="preserve">Mumbai Suburban E-Waste Awareness Campaign</t>
  </si>
  <si>
    <t xml:space="preserve">01-May-2025</t>
  </si>
  <si>
    <t xml:space="preserve">Nagpur E-Waste Awareness Campaign</t>
  </si>
  <si>
    <t xml:space="preserve">18-Jan-2025</t>
  </si>
  <si>
    <t xml:space="preserve">Nanded E-Waste Awareness Campaign</t>
  </si>
  <si>
    <t xml:space="preserve">04-Aug-2025</t>
  </si>
  <si>
    <t xml:space="preserve">Nandurbar E-Waste Awareness Campaign</t>
  </si>
  <si>
    <t xml:space="preserve">15-Aug-2025</t>
  </si>
  <si>
    <t xml:space="preserve">Nashik E-Waste Awareness Campaign</t>
  </si>
  <si>
    <t xml:space="preserve">28-May-2025</t>
  </si>
  <si>
    <t xml:space="preserve">Palghar E-Waste Awareness Campaign</t>
  </si>
  <si>
    <t xml:space="preserve">13-Feb-2025</t>
  </si>
  <si>
    <t xml:space="preserve">Parbhani E-Waste Awareness Campaign</t>
  </si>
  <si>
    <t xml:space="preserve">Pune E-Waste Awareness Campaign</t>
  </si>
  <si>
    <t xml:space="preserve">10-Oct-2025</t>
  </si>
  <si>
    <t xml:space="preserve">Raigad E-Waste Awareness Campaign</t>
  </si>
  <si>
    <t xml:space="preserve">Ratnagiri E-Waste Awareness Campaign</t>
  </si>
  <si>
    <t xml:space="preserve">13-Sep-2025</t>
  </si>
  <si>
    <t xml:space="preserve">Sangli E-Waste Awareness Campaign</t>
  </si>
  <si>
    <t xml:space="preserve">14-Oct-2025</t>
  </si>
  <si>
    <t xml:space="preserve">Satara E-Waste Awareness Campaign</t>
  </si>
  <si>
    <t xml:space="preserve">04-Dec-2025</t>
  </si>
  <si>
    <t xml:space="preserve">Sindhudurg E-Waste Awareness Campaign</t>
  </si>
  <si>
    <t xml:space="preserve">Solapur E-Waste Awareness Campaign</t>
  </si>
  <si>
    <t xml:space="preserve">03-Sep-2025</t>
  </si>
  <si>
    <t xml:space="preserve">Thane E-Waste Awareness Campaign</t>
  </si>
  <si>
    <t xml:space="preserve">23-Aug-2025</t>
  </si>
  <si>
    <t xml:space="preserve">Wardha E-Waste Awareness Campaign</t>
  </si>
  <si>
    <t xml:space="preserve">Washim E-Waste Awareness Campaign</t>
  </si>
  <si>
    <t xml:space="preserve">08-Nov-2025</t>
  </si>
  <si>
    <t xml:space="preserve">Yavatmal E-Waste Awareness Campaign</t>
  </si>
  <si>
    <t xml:space="preserve">18-Feb-2025</t>
  </si>
  <si>
    <t xml:space="preserve">Total Programs Conducted</t>
  </si>
  <si>
    <t xml:space="preserve">Collection Drives (School+RWA)</t>
  </si>
  <si>
    <t xml:space="preserve">Total Participants Reached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</si>
</sst>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%"/>
    <numFmt numFmtId="167" formatCode="General"/>
    <numFmt numFmtId="168" formatCode="#,##0"/>
    <numFmt numFmtId="169" formatCode="0.00"/>
    <numFmt numFmtId="170" formatCode="0%"/>
    <numFmt numFmtId="171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8"/>
      <color rgb="FF1F4E78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i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CE4D6"/>
      </patternFill>
    </fill>
    <fill>
      <patternFill patternType="solid">
        <fgColor rgb="FFFFFFFF"/>
        <bgColor rgb="FFFCE4D6"/>
      </patternFill>
    </fill>
    <fill>
      <patternFill patternType="solid">
        <fgColor rgb="FFFCE4D6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B7B7B7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0"/>
  </cols>
  <sheetData>
    <row r="2" customFormat="false" ht="2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2</v>
      </c>
      <c r="C5" s="4"/>
      <c r="D5" s="5" t="n">
        <f aca="false">ROUND(H17,1)</f>
        <v>82.9</v>
      </c>
      <c r="E5" s="5"/>
      <c r="F5" s="6" t="str">
        <f aca="false">_xlfn.IFS(H17&gt;=85,"EXCELLENT",H17&gt;=65,"GOOD",H17&gt;=45,"NEEDS IMPROVEMENT",TRUE(),"CRITICAL")</f>
        <v>GOOD</v>
      </c>
      <c r="G5" s="6"/>
      <c r="H5" s="6"/>
      <c r="I5" s="6"/>
    </row>
    <row r="6" customFormat="false" ht="15" hidden="false" customHeight="true" outlineLevel="0" collapsed="false">
      <c r="B6" s="4"/>
      <c r="C6" s="4"/>
      <c r="D6" s="5"/>
      <c r="E6" s="5"/>
      <c r="F6" s="6"/>
      <c r="G6" s="6"/>
      <c r="H6" s="6"/>
      <c r="I6" s="6"/>
    </row>
    <row r="7" customFormat="false" ht="15" hidden="false" customHeight="true" outlineLevel="0" collapsed="false">
      <c r="B7" s="4"/>
      <c r="C7" s="4"/>
      <c r="D7" s="5"/>
      <c r="E7" s="5"/>
      <c r="F7" s="6"/>
      <c r="G7" s="6"/>
      <c r="H7" s="6"/>
      <c r="I7" s="6"/>
    </row>
    <row r="9" customFormat="false" ht="30" hidden="false" customHeight="true" outlineLevel="0" collapsed="false"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  <c r="H9" s="7" t="s">
        <v>9</v>
      </c>
    </row>
    <row r="10" customFormat="false" ht="30" hidden="false" customHeight="true" outlineLevel="0" collapsed="false">
      <c r="B10" s="8" t="n">
        <v>1</v>
      </c>
      <c r="C10" s="9" t="s">
        <v>10</v>
      </c>
      <c r="D10" s="8" t="n">
        <v>15</v>
      </c>
      <c r="E10" s="10" t="n">
        <v>36</v>
      </c>
      <c r="F10" s="8" t="n">
        <f aca="false">COUNTIF(1_Generation_Inventory!C6:C41,"?*")</f>
        <v>36</v>
      </c>
      <c r="G10" s="11" t="n">
        <f aca="false">IFERROR(MIN(F10/E10,1),0)</f>
        <v>1</v>
      </c>
      <c r="H10" s="12" t="n">
        <f aca="false">ROUND(G10*D10,1)</f>
        <v>15</v>
      </c>
    </row>
    <row r="11" customFormat="false" ht="30" hidden="false" customHeight="true" outlineLevel="0" collapsed="false">
      <c r="B11" s="8" t="n">
        <v>2</v>
      </c>
      <c r="C11" s="9" t="s">
        <v>11</v>
      </c>
      <c r="D11" s="8" t="n">
        <v>20</v>
      </c>
      <c r="E11" s="13" t="n">
        <v>1</v>
      </c>
      <c r="F11" s="11" t="n">
        <f aca="false">IFERROR(2_Collection_Log!G43/2_Collection_Log!C43,0)</f>
        <v>0.70710000789138</v>
      </c>
      <c r="G11" s="11" t="n">
        <f aca="false">IFERROR(MIN(F11/E11,1),0)</f>
        <v>0.70710000789138</v>
      </c>
      <c r="H11" s="12" t="n">
        <f aca="false">ROUND(G11*D11,1)</f>
        <v>14.1</v>
      </c>
    </row>
    <row r="12" customFormat="false" ht="30" hidden="false" customHeight="true" outlineLevel="0" collapsed="false">
      <c r="B12" s="8" t="n">
        <v>3</v>
      </c>
      <c r="C12" s="9" t="s">
        <v>12</v>
      </c>
      <c r="D12" s="8" t="n">
        <v>20</v>
      </c>
      <c r="E12" s="13" t="n">
        <v>1</v>
      </c>
      <c r="F12" s="11" t="n">
        <f aca="false">IFERROR((3_Recycling_Infrastructure!E43*1000)/2_Collection_Log!C43,0)</f>
        <v>286.213639830859</v>
      </c>
      <c r="G12" s="11" t="n">
        <f aca="false">IFERROR(MIN(F12/E12,1),0)</f>
        <v>1</v>
      </c>
      <c r="H12" s="12" t="n">
        <f aca="false">ROUND(G12*D12,1)</f>
        <v>20</v>
      </c>
    </row>
    <row r="13" customFormat="false" ht="30" hidden="false" customHeight="true" outlineLevel="0" collapsed="false">
      <c r="B13" s="8" t="n">
        <v>4</v>
      </c>
      <c r="C13" s="9" t="s">
        <v>13</v>
      </c>
      <c r="D13" s="8" t="n">
        <v>15</v>
      </c>
      <c r="E13" s="13" t="n">
        <v>1</v>
      </c>
      <c r="F13" s="11" t="n">
        <f aca="false">IFERROR(4_Compliance_Tracker!C43/4_Compliance_Tracker!C44,0)</f>
        <v>0.583333333333333</v>
      </c>
      <c r="G13" s="11" t="n">
        <f aca="false">IFERROR(MIN(F13/E13,1),0)</f>
        <v>0.583333333333333</v>
      </c>
      <c r="H13" s="12" t="n">
        <f aca="false">ROUND(G13*D13,1)</f>
        <v>8.8</v>
      </c>
    </row>
    <row r="14" customFormat="false" ht="30" hidden="false" customHeight="true" outlineLevel="0" collapsed="false">
      <c r="B14" s="8" t="n">
        <v>5</v>
      </c>
      <c r="C14" s="9" t="s">
        <v>14</v>
      </c>
      <c r="D14" s="8" t="n">
        <v>10</v>
      </c>
      <c r="E14" s="13" t="n">
        <v>1</v>
      </c>
      <c r="F14" s="11" t="n">
        <f aca="false">IFERROR(5_Informal_Sector_Hotspots!C44/5_Informal_Sector_Hotspots!C43,0)</f>
        <v>0.5</v>
      </c>
      <c r="G14" s="11" t="n">
        <f aca="false">IFERROR(MIN(F14/E14,1),0)</f>
        <v>0.5</v>
      </c>
      <c r="H14" s="12" t="n">
        <f aca="false">ROUND(G14*D14,1)</f>
        <v>5</v>
      </c>
    </row>
    <row r="15" customFormat="false" ht="30" hidden="false" customHeight="true" outlineLevel="0" collapsed="false">
      <c r="B15" s="8" t="n">
        <v>6</v>
      </c>
      <c r="C15" s="9" t="s">
        <v>15</v>
      </c>
      <c r="D15" s="8" t="n">
        <v>10</v>
      </c>
      <c r="E15" s="13" t="n">
        <v>1</v>
      </c>
      <c r="F15" s="11" t="n">
        <f aca="false">IFERROR(6_Env_Health_Monitoring!C43/5_Informal_Sector_Hotspots!C43,0)</f>
        <v>1</v>
      </c>
      <c r="G15" s="11" t="n">
        <f aca="false">IFERROR(MIN(F15/E15,1),0)</f>
        <v>1</v>
      </c>
      <c r="H15" s="12" t="n">
        <f aca="false">ROUND(G15*D15,1)</f>
        <v>10</v>
      </c>
    </row>
    <row r="16" customFormat="false" ht="30" hidden="false" customHeight="true" outlineLevel="0" collapsed="false">
      <c r="B16" s="8" t="n">
        <v>7</v>
      </c>
      <c r="C16" s="9" t="s">
        <v>16</v>
      </c>
      <c r="D16" s="8" t="n">
        <v>10</v>
      </c>
      <c r="E16" s="10" t="n">
        <v>20</v>
      </c>
      <c r="F16" s="8" t="n">
        <f aca="false">7_Awareness_Programs!C43</f>
        <v>36</v>
      </c>
      <c r="G16" s="11" t="n">
        <f aca="false">IFERROR(MIN(F16/E16,1),0)</f>
        <v>1</v>
      </c>
      <c r="H16" s="12" t="n">
        <f aca="false">ROUND(G16*D16,1)</f>
        <v>10</v>
      </c>
    </row>
    <row r="17" customFormat="false" ht="15" hidden="false" customHeight="true" outlineLevel="0" collapsed="false">
      <c r="B17" s="14"/>
      <c r="C17" s="15" t="s">
        <v>17</v>
      </c>
      <c r="D17" s="15" t="n">
        <f aca="false">SUM(D10:D16)</f>
        <v>100</v>
      </c>
      <c r="E17" s="14"/>
      <c r="F17" s="14"/>
      <c r="G17" s="14"/>
      <c r="H17" s="15" t="n">
        <f aca="false">SUM(H10:H16)</f>
        <v>82.9</v>
      </c>
    </row>
    <row r="19" customFormat="false" ht="15" hidden="false" customHeight="true" outlineLevel="0" collapsed="false">
      <c r="B19" s="16" t="s">
        <v>18</v>
      </c>
    </row>
    <row r="20" customFormat="false" ht="15" hidden="false" customHeight="true" outlineLevel="0" collapsed="false">
      <c r="B20" s="17" t="s">
        <v>19</v>
      </c>
      <c r="C20" s="17" t="s">
        <v>20</v>
      </c>
    </row>
    <row r="21" customFormat="false" ht="15" hidden="false" customHeight="true" outlineLevel="0" collapsed="false">
      <c r="B21" s="17" t="s">
        <v>21</v>
      </c>
      <c r="C21" s="17" t="s">
        <v>22</v>
      </c>
    </row>
    <row r="22" customFormat="false" ht="15" hidden="false" customHeight="true" outlineLevel="0" collapsed="false">
      <c r="B22" s="17" t="s">
        <v>23</v>
      </c>
      <c r="C22" s="17" t="s">
        <v>24</v>
      </c>
    </row>
    <row r="23" customFormat="false" ht="15" hidden="false" customHeight="true" outlineLevel="0" collapsed="false">
      <c r="B23" s="17" t="s">
        <v>25</v>
      </c>
      <c r="C23" s="17" t="s">
        <v>26</v>
      </c>
    </row>
  </sheetData>
  <mergeCells count="5">
    <mergeCell ref="A2:H2"/>
    <mergeCell ref="B3:I3"/>
    <mergeCell ref="B5:C7"/>
    <mergeCell ref="D5:E7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8" min="5" style="1" width="16"/>
  </cols>
  <sheetData>
    <row r="2" customFormat="false" ht="25.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B4" s="18" t="s">
        <v>28</v>
      </c>
      <c r="C4" s="18"/>
      <c r="D4" s="18"/>
      <c r="E4" s="18"/>
      <c r="F4" s="18"/>
      <c r="G4" s="18"/>
      <c r="H4" s="18"/>
    </row>
    <row r="6" customFormat="false" ht="23.25" hidden="false" customHeight="true" outlineLevel="0" collapsed="false">
      <c r="B6" s="7" t="s">
        <v>3</v>
      </c>
      <c r="C6" s="7" t="s">
        <v>4</v>
      </c>
      <c r="D6" s="7" t="s">
        <v>5</v>
      </c>
      <c r="E6" s="7" t="s">
        <v>29</v>
      </c>
    </row>
    <row r="7" customFormat="false" ht="30" hidden="false" customHeight="true" outlineLevel="0" collapsed="false">
      <c r="B7" s="8" t="n">
        <v>1</v>
      </c>
      <c r="C7" s="19" t="s">
        <v>10</v>
      </c>
      <c r="D7" s="8" t="n">
        <v>15</v>
      </c>
      <c r="E7" s="20" t="s">
        <v>30</v>
      </c>
      <c r="F7" s="20"/>
      <c r="G7" s="20"/>
      <c r="H7" s="20"/>
    </row>
    <row r="8" customFormat="false" ht="30" hidden="false" customHeight="true" outlineLevel="0" collapsed="false">
      <c r="B8" s="8" t="n">
        <v>2</v>
      </c>
      <c r="C8" s="19" t="s">
        <v>11</v>
      </c>
      <c r="D8" s="8" t="n">
        <v>20</v>
      </c>
      <c r="E8" s="20" t="s">
        <v>31</v>
      </c>
      <c r="F8" s="20"/>
      <c r="G8" s="20"/>
      <c r="H8" s="20"/>
    </row>
    <row r="9" customFormat="false" ht="30" hidden="false" customHeight="true" outlineLevel="0" collapsed="false">
      <c r="B9" s="8" t="n">
        <v>3</v>
      </c>
      <c r="C9" s="19" t="s">
        <v>12</v>
      </c>
      <c r="D9" s="8" t="n">
        <v>20</v>
      </c>
      <c r="E9" s="20" t="s">
        <v>32</v>
      </c>
      <c r="F9" s="20"/>
      <c r="G9" s="20"/>
      <c r="H9" s="20"/>
    </row>
    <row r="10" customFormat="false" ht="30" hidden="false" customHeight="true" outlineLevel="0" collapsed="false">
      <c r="B10" s="8" t="n">
        <v>4</v>
      </c>
      <c r="C10" s="19" t="s">
        <v>13</v>
      </c>
      <c r="D10" s="8" t="n">
        <v>15</v>
      </c>
      <c r="E10" s="20" t="s">
        <v>33</v>
      </c>
      <c r="F10" s="20"/>
      <c r="G10" s="20"/>
      <c r="H10" s="20"/>
    </row>
    <row r="11" customFormat="false" ht="30" hidden="false" customHeight="true" outlineLevel="0" collapsed="false">
      <c r="B11" s="8" t="n">
        <v>5</v>
      </c>
      <c r="C11" s="19" t="s">
        <v>14</v>
      </c>
      <c r="D11" s="8" t="n">
        <v>10</v>
      </c>
      <c r="E11" s="20" t="s">
        <v>34</v>
      </c>
      <c r="F11" s="20"/>
      <c r="G11" s="20"/>
      <c r="H11" s="20"/>
    </row>
    <row r="12" customFormat="false" ht="30" hidden="false" customHeight="true" outlineLevel="0" collapsed="false">
      <c r="B12" s="8" t="n">
        <v>6</v>
      </c>
      <c r="C12" s="19" t="s">
        <v>15</v>
      </c>
      <c r="D12" s="8" t="n">
        <v>10</v>
      </c>
      <c r="E12" s="20" t="s">
        <v>35</v>
      </c>
      <c r="F12" s="20"/>
      <c r="G12" s="20"/>
      <c r="H12" s="20"/>
    </row>
    <row r="13" customFormat="false" ht="30" hidden="false" customHeight="true" outlineLevel="0" collapsed="false">
      <c r="B13" s="8" t="n">
        <v>7</v>
      </c>
      <c r="C13" s="19" t="s">
        <v>16</v>
      </c>
      <c r="D13" s="8" t="n">
        <v>10</v>
      </c>
      <c r="E13" s="20" t="s">
        <v>36</v>
      </c>
      <c r="F13" s="20"/>
      <c r="G13" s="20"/>
      <c r="H13" s="20"/>
    </row>
    <row r="14" customFormat="false" ht="15" hidden="false" customHeight="true" outlineLevel="0" collapsed="false">
      <c r="B14" s="14"/>
      <c r="C14" s="15" t="s">
        <v>37</v>
      </c>
      <c r="D14" s="15" t="n">
        <v>100</v>
      </c>
      <c r="E14" s="14"/>
      <c r="F14" s="14"/>
      <c r="G14" s="14"/>
      <c r="H14" s="14"/>
    </row>
    <row r="16" customFormat="false" ht="15" hidden="false" customHeight="true" outlineLevel="0" collapsed="false">
      <c r="B16" s="16" t="s">
        <v>38</v>
      </c>
    </row>
    <row r="17" customFormat="false" ht="25.5" hidden="false" customHeight="true" outlineLevel="0" collapsed="false">
      <c r="B17" s="21" t="s">
        <v>39</v>
      </c>
      <c r="C17" s="21"/>
      <c r="D17" s="21"/>
      <c r="E17" s="21"/>
      <c r="F17" s="21"/>
      <c r="G17" s="21"/>
      <c r="H17" s="21"/>
    </row>
    <row r="18" customFormat="false" ht="25.5" hidden="false" customHeight="true" outlineLevel="0" collapsed="false">
      <c r="B18" s="21" t="s">
        <v>40</v>
      </c>
      <c r="C18" s="21"/>
      <c r="D18" s="21"/>
      <c r="E18" s="21"/>
      <c r="F18" s="21"/>
      <c r="G18" s="21"/>
      <c r="H18" s="21"/>
    </row>
    <row r="19" customFormat="false" ht="25.5" hidden="false" customHeight="true" outlineLevel="0" collapsed="false">
      <c r="B19" s="21" t="s">
        <v>41</v>
      </c>
      <c r="C19" s="21"/>
      <c r="D19" s="21"/>
      <c r="E19" s="21"/>
      <c r="F19" s="21"/>
      <c r="G19" s="21"/>
      <c r="H19" s="21"/>
    </row>
    <row r="20" customFormat="false" ht="25.5" hidden="false" customHeight="true" outlineLevel="0" collapsed="false">
      <c r="B20" s="21" t="s">
        <v>42</v>
      </c>
      <c r="C20" s="21"/>
      <c r="D20" s="21"/>
      <c r="E20" s="21"/>
      <c r="F20" s="21"/>
      <c r="G20" s="21"/>
      <c r="H20" s="21"/>
    </row>
    <row r="21" customFormat="false" ht="25.5" hidden="false" customHeight="true" outlineLevel="0" collapsed="false">
      <c r="B21" s="21" t="s">
        <v>43</v>
      </c>
      <c r="C21" s="21"/>
      <c r="D21" s="21"/>
      <c r="E21" s="21"/>
      <c r="F21" s="21"/>
      <c r="G21" s="21"/>
      <c r="H21" s="21"/>
    </row>
  </sheetData>
  <mergeCells count="14">
    <mergeCell ref="A2:G2"/>
    <mergeCell ref="B4:H4"/>
    <mergeCell ref="E7:H7"/>
    <mergeCell ref="E8:H8"/>
    <mergeCell ref="E9:H9"/>
    <mergeCell ref="E10:H10"/>
    <mergeCell ref="E11:H11"/>
    <mergeCell ref="E12:H12"/>
    <mergeCell ref="E13:H13"/>
    <mergeCell ref="B17:H17"/>
    <mergeCell ref="B18:H18"/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1" min="11" style="1" width="16"/>
    <col collapsed="false" customWidth="true" hidden="false" outlineLevel="0" max="13" min="13" style="1" width="34"/>
    <col collapsed="false" customWidth="true" hidden="false" outlineLevel="0" max="14" min="14" style="1" width="10"/>
  </cols>
  <sheetData>
    <row r="2" customFormat="false" ht="25.5" hidden="false" customHeight="true" outlineLevel="0" collapsed="false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B3" s="3" t="s">
        <v>45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30" hidden="false" customHeight="true" outlineLevel="0" collapsed="false">
      <c r="B5" s="7" t="s">
        <v>46</v>
      </c>
      <c r="C5" s="7" t="s">
        <v>47</v>
      </c>
      <c r="D5" s="7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7" t="s">
        <v>54</v>
      </c>
      <c r="K5" s="7" t="s">
        <v>55</v>
      </c>
      <c r="M5" s="22" t="s">
        <v>56</v>
      </c>
      <c r="N5" s="22"/>
    </row>
    <row r="6" customFormat="false" ht="15" hidden="false" customHeight="true" outlineLevel="0" collapsed="false">
      <c r="B6" s="23" t="s">
        <v>57</v>
      </c>
      <c r="C6" s="24" t="n">
        <v>4543159</v>
      </c>
      <c r="D6" s="24" t="n">
        <f aca="false">ROUND($C6*$N$6*$N$7,0)</f>
        <v>2507824</v>
      </c>
      <c r="E6" s="24" t="n">
        <f aca="false">ROUND($C6*$N$6*$N$8,0)</f>
        <v>1744573</v>
      </c>
      <c r="F6" s="24" t="n">
        <f aca="false">ROUND($C6*$N$6*$N$9,0)</f>
        <v>654215</v>
      </c>
      <c r="G6" s="24" t="n">
        <f aca="false">ROUND($C6*$N$6*$N$10,0)</f>
        <v>109036</v>
      </c>
      <c r="H6" s="24" t="n">
        <f aca="false">ROUND($C6*$N$6*$N$11,0)</f>
        <v>272590</v>
      </c>
      <c r="I6" s="24" t="n">
        <f aca="false">ROUND($C6*$N$6*$N$12,0)</f>
        <v>163554</v>
      </c>
      <c r="J6" s="25" t="n">
        <f aca="false">IF(SUM(D6:I6)=0,"",SUM(D6:I6))</f>
        <v>5451792</v>
      </c>
      <c r="K6" s="26" t="s">
        <v>58</v>
      </c>
      <c r="M6" s="27" t="s">
        <v>59</v>
      </c>
      <c r="N6" s="28" t="n">
        <v>1.2</v>
      </c>
    </row>
    <row r="7" customFormat="false" ht="15" hidden="false" customHeight="true" outlineLevel="0" collapsed="false">
      <c r="B7" s="23" t="s">
        <v>60</v>
      </c>
      <c r="C7" s="24" t="n">
        <v>1813906</v>
      </c>
      <c r="D7" s="24" t="n">
        <f aca="false">ROUND($C7*$N$6*$N$7,0)</f>
        <v>1001276</v>
      </c>
      <c r="E7" s="24" t="n">
        <f aca="false">ROUND($C7*$N$6*$N$8,0)</f>
        <v>696540</v>
      </c>
      <c r="F7" s="24" t="n">
        <f aca="false">ROUND($C7*$N$6*$N$9,0)</f>
        <v>261202</v>
      </c>
      <c r="G7" s="24" t="n">
        <f aca="false">ROUND($C7*$N$6*$N$10,0)</f>
        <v>43534</v>
      </c>
      <c r="H7" s="24" t="n">
        <f aca="false">ROUND($C7*$N$6*$N$11,0)</f>
        <v>108834</v>
      </c>
      <c r="I7" s="24" t="n">
        <f aca="false">ROUND($C7*$N$6*$N$12,0)</f>
        <v>65301</v>
      </c>
      <c r="J7" s="25" t="n">
        <f aca="false">IF(SUM(D7:I7)=0,"",SUM(D7:I7))</f>
        <v>2176687</v>
      </c>
      <c r="K7" s="26" t="s">
        <v>58</v>
      </c>
      <c r="M7" s="27" t="s">
        <v>61</v>
      </c>
      <c r="N7" s="29" t="n">
        <v>0.46</v>
      </c>
    </row>
    <row r="8" customFormat="false" ht="15" hidden="false" customHeight="true" outlineLevel="0" collapsed="false">
      <c r="B8" s="23" t="s">
        <v>62</v>
      </c>
      <c r="C8" s="24" t="n">
        <v>2888445</v>
      </c>
      <c r="D8" s="24" t="n">
        <f aca="false">ROUND($C8*$N$6*$N$7,0)</f>
        <v>1594422</v>
      </c>
      <c r="E8" s="24" t="n">
        <f aca="false">ROUND($C8*$N$6*$N$8,0)</f>
        <v>1109163</v>
      </c>
      <c r="F8" s="24" t="n">
        <f aca="false">ROUND($C8*$N$6*$N$9,0)</f>
        <v>415936</v>
      </c>
      <c r="G8" s="24" t="n">
        <f aca="false">ROUND($C8*$N$6*$N$10,0)</f>
        <v>69323</v>
      </c>
      <c r="H8" s="24" t="n">
        <f aca="false">ROUND($C8*$N$6*$N$11,0)</f>
        <v>173307</v>
      </c>
      <c r="I8" s="24" t="n">
        <f aca="false">ROUND($C8*$N$6*$N$12,0)</f>
        <v>103984</v>
      </c>
      <c r="J8" s="25" t="n">
        <f aca="false">IF(SUM(D8:I8)=0,"",SUM(D8:I8))</f>
        <v>3466135</v>
      </c>
      <c r="K8" s="26" t="s">
        <v>58</v>
      </c>
      <c r="M8" s="27" t="s">
        <v>63</v>
      </c>
      <c r="N8" s="29" t="n">
        <v>0.32</v>
      </c>
    </row>
    <row r="9" customFormat="false" ht="15" hidden="false" customHeight="true" outlineLevel="0" collapsed="false">
      <c r="B9" s="23" t="s">
        <v>64</v>
      </c>
      <c r="C9" s="24" t="n">
        <v>2585049</v>
      </c>
      <c r="D9" s="24" t="n">
        <f aca="false">ROUND($C9*$N$6*$N$7,0)</f>
        <v>1426947</v>
      </c>
      <c r="E9" s="24" t="n">
        <f aca="false">ROUND($C9*$N$6*$N$8,0)</f>
        <v>992659</v>
      </c>
      <c r="F9" s="24" t="n">
        <f aca="false">ROUND($C9*$N$6*$N$9,0)</f>
        <v>372247</v>
      </c>
      <c r="G9" s="24" t="n">
        <f aca="false">ROUND($C9*$N$6*$N$10,0)</f>
        <v>62041</v>
      </c>
      <c r="H9" s="24" t="n">
        <f aca="false">ROUND($C9*$N$6*$N$11,0)</f>
        <v>155103</v>
      </c>
      <c r="I9" s="24" t="n">
        <f aca="false">ROUND($C9*$N$6*$N$12,0)</f>
        <v>93062</v>
      </c>
      <c r="J9" s="25" t="n">
        <f aca="false">IF(SUM(D9:I9)=0,"",SUM(D9:I9))</f>
        <v>3102059</v>
      </c>
      <c r="K9" s="26" t="s">
        <v>58</v>
      </c>
      <c r="M9" s="27" t="s">
        <v>65</v>
      </c>
      <c r="N9" s="29" t="n">
        <v>0.12</v>
      </c>
    </row>
    <row r="10" customFormat="false" ht="15" hidden="false" customHeight="true" outlineLevel="0" collapsed="false">
      <c r="B10" s="23" t="s">
        <v>66</v>
      </c>
      <c r="C10" s="24" t="n">
        <v>1200334</v>
      </c>
      <c r="D10" s="24" t="n">
        <f aca="false">ROUND($C10*$N$6*$N$7,0)</f>
        <v>662584</v>
      </c>
      <c r="E10" s="24" t="n">
        <f aca="false">ROUND($C10*$N$6*$N$8,0)</f>
        <v>460928</v>
      </c>
      <c r="F10" s="24" t="n">
        <f aca="false">ROUND($C10*$N$6*$N$9,0)</f>
        <v>172848</v>
      </c>
      <c r="G10" s="24" t="n">
        <f aca="false">ROUND($C10*$N$6*$N$10,0)</f>
        <v>28808</v>
      </c>
      <c r="H10" s="24" t="n">
        <f aca="false">ROUND($C10*$N$6*$N$11,0)</f>
        <v>72020</v>
      </c>
      <c r="I10" s="24" t="n">
        <f aca="false">ROUND($C10*$N$6*$N$12,0)</f>
        <v>43212</v>
      </c>
      <c r="J10" s="25" t="n">
        <f aca="false">IF(SUM(D10:I10)=0,"",SUM(D10:I10))</f>
        <v>1440400</v>
      </c>
      <c r="K10" s="26" t="s">
        <v>58</v>
      </c>
      <c r="M10" s="27" t="s">
        <v>67</v>
      </c>
      <c r="N10" s="29" t="n">
        <v>0.02</v>
      </c>
    </row>
    <row r="11" customFormat="false" ht="15" hidden="false" customHeight="true" outlineLevel="0" collapsed="false">
      <c r="B11" s="23" t="s">
        <v>68</v>
      </c>
      <c r="C11" s="24" t="n">
        <v>2586258</v>
      </c>
      <c r="D11" s="24" t="n">
        <f aca="false">ROUND($C11*$N$6*$N$7,0)</f>
        <v>1427614</v>
      </c>
      <c r="E11" s="24" t="n">
        <f aca="false">ROUND($C11*$N$6*$N$8,0)</f>
        <v>993123</v>
      </c>
      <c r="F11" s="24" t="n">
        <f aca="false">ROUND($C11*$N$6*$N$9,0)</f>
        <v>372421</v>
      </c>
      <c r="G11" s="24" t="n">
        <f aca="false">ROUND($C11*$N$6*$N$10,0)</f>
        <v>62070</v>
      </c>
      <c r="H11" s="24" t="n">
        <f aca="false">ROUND($C11*$N$6*$N$11,0)</f>
        <v>155175</v>
      </c>
      <c r="I11" s="24" t="n">
        <f aca="false">ROUND($C11*$N$6*$N$12,0)</f>
        <v>93105</v>
      </c>
      <c r="J11" s="25" t="n">
        <f aca="false">IF(SUM(D11:I11)=0,"",SUM(D11:I11))</f>
        <v>3103508</v>
      </c>
      <c r="K11" s="26" t="s">
        <v>58</v>
      </c>
      <c r="M11" s="27" t="s">
        <v>69</v>
      </c>
      <c r="N11" s="29" t="n">
        <v>0.05</v>
      </c>
    </row>
    <row r="12" customFormat="false" ht="15" hidden="false" customHeight="true" outlineLevel="0" collapsed="false">
      <c r="B12" s="23" t="s">
        <v>70</v>
      </c>
      <c r="C12" s="24" t="n">
        <v>2204307</v>
      </c>
      <c r="D12" s="24" t="n">
        <f aca="false">ROUND($C12*$N$6*$N$7,0)</f>
        <v>1216777</v>
      </c>
      <c r="E12" s="24" t="n">
        <f aca="false">ROUND($C12*$N$6*$N$8,0)</f>
        <v>846454</v>
      </c>
      <c r="F12" s="24" t="n">
        <f aca="false">ROUND($C12*$N$6*$N$9,0)</f>
        <v>317420</v>
      </c>
      <c r="G12" s="24" t="n">
        <f aca="false">ROUND($C12*$N$6*$N$10,0)</f>
        <v>52903</v>
      </c>
      <c r="H12" s="24" t="n">
        <f aca="false">ROUND($C12*$N$6*$N$11,0)</f>
        <v>132258</v>
      </c>
      <c r="I12" s="24" t="n">
        <f aca="false">ROUND($C12*$N$6*$N$12,0)</f>
        <v>79355</v>
      </c>
      <c r="J12" s="25" t="n">
        <f aca="false">IF(SUM(D12:I12)=0,"",SUM(D12:I12))</f>
        <v>2645167</v>
      </c>
      <c r="K12" s="26" t="s">
        <v>58</v>
      </c>
      <c r="M12" s="27" t="s">
        <v>71</v>
      </c>
      <c r="N12" s="29" t="n">
        <v>0.03</v>
      </c>
    </row>
    <row r="13" customFormat="false" ht="15" hidden="false" customHeight="true" outlineLevel="0" collapsed="false">
      <c r="B13" s="23" t="s">
        <v>72</v>
      </c>
      <c r="C13" s="24" t="n">
        <v>3701282</v>
      </c>
      <c r="D13" s="24" t="n">
        <f aca="false">ROUND($C13*$N$6*$N$7,0)</f>
        <v>2043108</v>
      </c>
      <c r="E13" s="24" t="n">
        <f aca="false">ROUND($C13*$N$6*$N$8,0)</f>
        <v>1421292</v>
      </c>
      <c r="F13" s="24" t="n">
        <f aca="false">ROUND($C13*$N$6*$N$9,0)</f>
        <v>532985</v>
      </c>
      <c r="G13" s="24" t="n">
        <f aca="false">ROUND($C13*$N$6*$N$10,0)</f>
        <v>88831</v>
      </c>
      <c r="H13" s="24" t="n">
        <f aca="false">ROUND($C13*$N$6*$N$11,0)</f>
        <v>222077</v>
      </c>
      <c r="I13" s="24" t="n">
        <f aca="false">ROUND($C13*$N$6*$N$12,0)</f>
        <v>133246</v>
      </c>
      <c r="J13" s="25" t="n">
        <f aca="false">IF(SUM(D13:I13)=0,"",SUM(D13:I13))</f>
        <v>4441539</v>
      </c>
      <c r="K13" s="26" t="s">
        <v>58</v>
      </c>
      <c r="M13" s="30" t="s">
        <v>73</v>
      </c>
      <c r="N13" s="31" t="n">
        <f aca="false">SUM(N7:N12)</f>
        <v>1</v>
      </c>
    </row>
    <row r="14" customFormat="false" ht="15" hidden="false" customHeight="true" outlineLevel="0" collapsed="false">
      <c r="B14" s="23" t="s">
        <v>74</v>
      </c>
      <c r="C14" s="24" t="n">
        <v>1657576</v>
      </c>
      <c r="D14" s="24" t="n">
        <f aca="false">ROUND($C14*$N$6*$N$7,0)</f>
        <v>914982</v>
      </c>
      <c r="E14" s="24" t="n">
        <f aca="false">ROUND($C14*$N$6*$N$8,0)</f>
        <v>636509</v>
      </c>
      <c r="F14" s="24" t="n">
        <f aca="false">ROUND($C14*$N$6*$N$9,0)</f>
        <v>238691</v>
      </c>
      <c r="G14" s="24" t="n">
        <f aca="false">ROUND($C14*$N$6*$N$10,0)</f>
        <v>39782</v>
      </c>
      <c r="H14" s="24" t="n">
        <f aca="false">ROUND($C14*$N$6*$N$11,0)</f>
        <v>99455</v>
      </c>
      <c r="I14" s="24" t="n">
        <f aca="false">ROUND($C14*$N$6*$N$12,0)</f>
        <v>59673</v>
      </c>
      <c r="J14" s="25" t="n">
        <f aca="false">IF(SUM(D14:I14)=0,"",SUM(D14:I14))</f>
        <v>1989092</v>
      </c>
      <c r="K14" s="26" t="s">
        <v>58</v>
      </c>
    </row>
    <row r="15" customFormat="false" ht="15" hidden="false" customHeight="true" outlineLevel="0" collapsed="false">
      <c r="B15" s="23" t="s">
        <v>75</v>
      </c>
      <c r="C15" s="24" t="n">
        <v>2050862</v>
      </c>
      <c r="D15" s="24" t="n">
        <f aca="false">ROUND($C15*$N$6*$N$7,0)</f>
        <v>1132076</v>
      </c>
      <c r="E15" s="24" t="n">
        <f aca="false">ROUND($C15*$N$6*$N$8,0)</f>
        <v>787531</v>
      </c>
      <c r="F15" s="24" t="n">
        <f aca="false">ROUND($C15*$N$6*$N$9,0)</f>
        <v>295324</v>
      </c>
      <c r="G15" s="24" t="n">
        <f aca="false">ROUND($C15*$N$6*$N$10,0)</f>
        <v>49221</v>
      </c>
      <c r="H15" s="24" t="n">
        <f aca="false">ROUND($C15*$N$6*$N$11,0)</f>
        <v>123052</v>
      </c>
      <c r="I15" s="24" t="n">
        <f aca="false">ROUND($C15*$N$6*$N$12,0)</f>
        <v>73831</v>
      </c>
      <c r="J15" s="25" t="n">
        <f aca="false">IF(SUM(D15:I15)=0,"",SUM(D15:I15))</f>
        <v>2461035</v>
      </c>
      <c r="K15" s="26" t="s">
        <v>58</v>
      </c>
    </row>
    <row r="16" customFormat="false" ht="15" hidden="false" customHeight="true" outlineLevel="0" collapsed="false">
      <c r="B16" s="23" t="s">
        <v>76</v>
      </c>
      <c r="C16" s="24" t="n">
        <v>1072942</v>
      </c>
      <c r="D16" s="24" t="n">
        <f aca="false">ROUND($C16*$N$6*$N$7,0)</f>
        <v>592264</v>
      </c>
      <c r="E16" s="24" t="n">
        <f aca="false">ROUND($C16*$N$6*$N$8,0)</f>
        <v>412010</v>
      </c>
      <c r="F16" s="24" t="n">
        <f aca="false">ROUND($C16*$N$6*$N$9,0)</f>
        <v>154504</v>
      </c>
      <c r="G16" s="24" t="n">
        <f aca="false">ROUND($C16*$N$6*$N$10,0)</f>
        <v>25751</v>
      </c>
      <c r="H16" s="24" t="n">
        <f aca="false">ROUND($C16*$N$6*$N$11,0)</f>
        <v>64377</v>
      </c>
      <c r="I16" s="24" t="n">
        <f aca="false">ROUND($C16*$N$6*$N$12,0)</f>
        <v>38626</v>
      </c>
      <c r="J16" s="25" t="n">
        <f aca="false">IF(SUM(D16:I16)=0,"",SUM(D16:I16))</f>
        <v>1287532</v>
      </c>
      <c r="K16" s="26" t="s">
        <v>58</v>
      </c>
    </row>
    <row r="17" customFormat="false" ht="15" hidden="false" customHeight="true" outlineLevel="0" collapsed="false">
      <c r="B17" s="23" t="s">
        <v>77</v>
      </c>
      <c r="C17" s="24" t="n">
        <v>1322331</v>
      </c>
      <c r="D17" s="24" t="n">
        <f aca="false">ROUND($C17*$N$6*$N$7,0)</f>
        <v>729927</v>
      </c>
      <c r="E17" s="24" t="n">
        <f aca="false">ROUND($C17*$N$6*$N$8,0)</f>
        <v>507775</v>
      </c>
      <c r="F17" s="24" t="n">
        <f aca="false">ROUND($C17*$N$6*$N$9,0)</f>
        <v>190416</v>
      </c>
      <c r="G17" s="24" t="n">
        <f aca="false">ROUND($C17*$N$6*$N$10,0)</f>
        <v>31736</v>
      </c>
      <c r="H17" s="24" t="n">
        <f aca="false">ROUND($C17*$N$6*$N$11,0)</f>
        <v>79340</v>
      </c>
      <c r="I17" s="24" t="n">
        <f aca="false">ROUND($C17*$N$6*$N$12,0)</f>
        <v>47604</v>
      </c>
      <c r="J17" s="25" t="n">
        <f aca="false">IF(SUM(D17:I17)=0,"",SUM(D17:I17))</f>
        <v>1586798</v>
      </c>
      <c r="K17" s="26" t="s">
        <v>58</v>
      </c>
    </row>
    <row r="18" customFormat="false" ht="15" hidden="false" customHeight="true" outlineLevel="0" collapsed="false">
      <c r="B18" s="23" t="s">
        <v>78</v>
      </c>
      <c r="C18" s="24" t="n">
        <v>1177345</v>
      </c>
      <c r="D18" s="24" t="n">
        <f aca="false">ROUND($C18*$N$6*$N$7,0)</f>
        <v>649894</v>
      </c>
      <c r="E18" s="24" t="n">
        <f aca="false">ROUND($C18*$N$6*$N$8,0)</f>
        <v>452100</v>
      </c>
      <c r="F18" s="24" t="n">
        <f aca="false">ROUND($C18*$N$6*$N$9,0)</f>
        <v>169538</v>
      </c>
      <c r="G18" s="24" t="n">
        <f aca="false">ROUND($C18*$N$6*$N$10,0)</f>
        <v>28256</v>
      </c>
      <c r="H18" s="24" t="n">
        <f aca="false">ROUND($C18*$N$6*$N$11,0)</f>
        <v>70641</v>
      </c>
      <c r="I18" s="24" t="n">
        <f aca="false">ROUND($C18*$N$6*$N$12,0)</f>
        <v>42384</v>
      </c>
      <c r="J18" s="25" t="n">
        <f aca="false">IF(SUM(D18:I18)=0,"",SUM(D18:I18))</f>
        <v>1412813</v>
      </c>
      <c r="K18" s="26" t="s">
        <v>58</v>
      </c>
    </row>
    <row r="19" customFormat="false" ht="15" hidden="false" customHeight="true" outlineLevel="0" collapsed="false">
      <c r="B19" s="23" t="s">
        <v>79</v>
      </c>
      <c r="C19" s="24" t="n">
        <v>4229917</v>
      </c>
      <c r="D19" s="24" t="n">
        <f aca="false">ROUND($C19*$N$6*$N$7,0)</f>
        <v>2334914</v>
      </c>
      <c r="E19" s="24" t="n">
        <f aca="false">ROUND($C19*$N$6*$N$8,0)</f>
        <v>1624288</v>
      </c>
      <c r="F19" s="24" t="n">
        <f aca="false">ROUND($C19*$N$6*$N$9,0)</f>
        <v>609108</v>
      </c>
      <c r="G19" s="24" t="n">
        <f aca="false">ROUND($C19*$N$6*$N$10,0)</f>
        <v>101518</v>
      </c>
      <c r="H19" s="24" t="n">
        <f aca="false">ROUND($C19*$N$6*$N$11,0)</f>
        <v>253795</v>
      </c>
      <c r="I19" s="24" t="n">
        <f aca="false">ROUND($C19*$N$6*$N$12,0)</f>
        <v>152277</v>
      </c>
      <c r="J19" s="25" t="n">
        <f aca="false">IF(SUM(D19:I19)=0,"",SUM(D19:I19))</f>
        <v>5075900</v>
      </c>
      <c r="K19" s="26" t="s">
        <v>58</v>
      </c>
    </row>
    <row r="20" customFormat="false" ht="15" hidden="false" customHeight="true" outlineLevel="0" collapsed="false">
      <c r="B20" s="23" t="s">
        <v>80</v>
      </c>
      <c r="C20" s="24" t="n">
        <v>1959046</v>
      </c>
      <c r="D20" s="24" t="n">
        <f aca="false">ROUND($C20*$N$6*$N$7,0)</f>
        <v>1081393</v>
      </c>
      <c r="E20" s="24" t="n">
        <f aca="false">ROUND($C20*$N$6*$N$8,0)</f>
        <v>752274</v>
      </c>
      <c r="F20" s="24" t="n">
        <f aca="false">ROUND($C20*$N$6*$N$9,0)</f>
        <v>282103</v>
      </c>
      <c r="G20" s="24" t="n">
        <f aca="false">ROUND($C20*$N$6*$N$10,0)</f>
        <v>47017</v>
      </c>
      <c r="H20" s="24" t="n">
        <f aca="false">ROUND($C20*$N$6*$N$11,0)</f>
        <v>117543</v>
      </c>
      <c r="I20" s="24" t="n">
        <f aca="false">ROUND($C20*$N$6*$N$12,0)</f>
        <v>70526</v>
      </c>
      <c r="J20" s="25" t="n">
        <f aca="false">IF(SUM(D20:I20)=0,"",SUM(D20:I20))</f>
        <v>2350856</v>
      </c>
      <c r="K20" s="26" t="s">
        <v>58</v>
      </c>
    </row>
    <row r="21" customFormat="false" ht="15" hidden="false" customHeight="true" outlineLevel="0" collapsed="false">
      <c r="B21" s="23" t="s">
        <v>81</v>
      </c>
      <c r="C21" s="24" t="n">
        <v>3876001</v>
      </c>
      <c r="D21" s="24" t="n">
        <f aca="false">ROUND($C21*$N$6*$N$7,0)</f>
        <v>2139553</v>
      </c>
      <c r="E21" s="24" t="n">
        <f aca="false">ROUND($C21*$N$6*$N$8,0)</f>
        <v>1488384</v>
      </c>
      <c r="F21" s="24" t="n">
        <f aca="false">ROUND($C21*$N$6*$N$9,0)</f>
        <v>558144</v>
      </c>
      <c r="G21" s="24" t="n">
        <f aca="false">ROUND($C21*$N$6*$N$10,0)</f>
        <v>93024</v>
      </c>
      <c r="H21" s="24" t="n">
        <f aca="false">ROUND($C21*$N$6*$N$11,0)</f>
        <v>232560</v>
      </c>
      <c r="I21" s="24" t="n">
        <f aca="false">ROUND($C21*$N$6*$N$12,0)</f>
        <v>139536</v>
      </c>
      <c r="J21" s="25" t="n">
        <f aca="false">IF(SUM(D21:I21)=0,"",SUM(D21:I21))</f>
        <v>4651201</v>
      </c>
      <c r="K21" s="26" t="s">
        <v>58</v>
      </c>
    </row>
    <row r="22" customFormat="false" ht="15" hidden="false" customHeight="true" outlineLevel="0" collapsed="false">
      <c r="B22" s="23" t="s">
        <v>82</v>
      </c>
      <c r="C22" s="24" t="n">
        <v>2454196</v>
      </c>
      <c r="D22" s="24" t="n">
        <f aca="false">ROUND($C22*$N$6*$N$7,0)</f>
        <v>1354716</v>
      </c>
      <c r="E22" s="24" t="n">
        <f aca="false">ROUND($C22*$N$6*$N$8,0)</f>
        <v>942411</v>
      </c>
      <c r="F22" s="24" t="n">
        <f aca="false">ROUND($C22*$N$6*$N$9,0)</f>
        <v>353404</v>
      </c>
      <c r="G22" s="24" t="n">
        <f aca="false">ROUND($C22*$N$6*$N$10,0)</f>
        <v>58901</v>
      </c>
      <c r="H22" s="24" t="n">
        <f aca="false">ROUND($C22*$N$6*$N$11,0)</f>
        <v>147252</v>
      </c>
      <c r="I22" s="24" t="n">
        <f aca="false">ROUND($C22*$N$6*$N$12,0)</f>
        <v>88351</v>
      </c>
      <c r="J22" s="25" t="n">
        <f aca="false">IF(SUM(D22:I22)=0,"",SUM(D22:I22))</f>
        <v>2945035</v>
      </c>
      <c r="K22" s="26" t="s">
        <v>58</v>
      </c>
    </row>
    <row r="23" customFormat="false" ht="15" hidden="false" customHeight="true" outlineLevel="0" collapsed="false">
      <c r="B23" s="23" t="s">
        <v>83</v>
      </c>
      <c r="C23" s="24" t="n">
        <v>3085411</v>
      </c>
      <c r="D23" s="24" t="n">
        <f aca="false">ROUND($C23*$N$6*$N$7,0)</f>
        <v>1703147</v>
      </c>
      <c r="E23" s="24" t="n">
        <f aca="false">ROUND($C23*$N$6*$N$8,0)</f>
        <v>1184798</v>
      </c>
      <c r="F23" s="24" t="n">
        <f aca="false">ROUND($C23*$N$6*$N$9,0)</f>
        <v>444299</v>
      </c>
      <c r="G23" s="24" t="n">
        <f aca="false">ROUND($C23*$N$6*$N$10,0)</f>
        <v>74050</v>
      </c>
      <c r="H23" s="24" t="n">
        <f aca="false">ROUND($C23*$N$6*$N$11,0)</f>
        <v>185125</v>
      </c>
      <c r="I23" s="24" t="n">
        <f aca="false">ROUND($C23*$N$6*$N$12,0)</f>
        <v>111075</v>
      </c>
      <c r="J23" s="25" t="n">
        <f aca="false">IF(SUM(D23:I23)=0,"",SUM(D23:I23))</f>
        <v>3702494</v>
      </c>
      <c r="K23" s="26" t="s">
        <v>58</v>
      </c>
    </row>
    <row r="24" customFormat="false" ht="15" hidden="false" customHeight="true" outlineLevel="0" collapsed="false">
      <c r="B24" s="23" t="s">
        <v>84</v>
      </c>
      <c r="C24" s="24" t="n">
        <v>9356962</v>
      </c>
      <c r="D24" s="24" t="n">
        <f aca="false">ROUND($C24*$N$6*$N$7,0)</f>
        <v>5165043</v>
      </c>
      <c r="E24" s="24" t="n">
        <f aca="false">ROUND($C24*$N$6*$N$8,0)</f>
        <v>3593073</v>
      </c>
      <c r="F24" s="24" t="n">
        <f aca="false">ROUND($C24*$N$6*$N$9,0)</f>
        <v>1347403</v>
      </c>
      <c r="G24" s="24" t="n">
        <f aca="false">ROUND($C24*$N$6*$N$10,0)</f>
        <v>224567</v>
      </c>
      <c r="H24" s="24" t="n">
        <f aca="false">ROUND($C24*$N$6*$N$11,0)</f>
        <v>561418</v>
      </c>
      <c r="I24" s="24" t="n">
        <f aca="false">ROUND($C24*$N$6*$N$12,0)</f>
        <v>336851</v>
      </c>
      <c r="J24" s="25" t="n">
        <f aca="false">IF(SUM(D24:I24)=0,"",SUM(D24:I24))</f>
        <v>11228355</v>
      </c>
      <c r="K24" s="26" t="s">
        <v>58</v>
      </c>
    </row>
    <row r="25" customFormat="false" ht="15" hidden="false" customHeight="true" outlineLevel="0" collapsed="false">
      <c r="B25" s="23" t="s">
        <v>85</v>
      </c>
      <c r="C25" s="24" t="n">
        <v>4653570</v>
      </c>
      <c r="D25" s="24" t="n">
        <f aca="false">ROUND($C25*$N$6*$N$7,0)</f>
        <v>2568771</v>
      </c>
      <c r="E25" s="24" t="n">
        <f aca="false">ROUND($C25*$N$6*$N$8,0)</f>
        <v>1786971</v>
      </c>
      <c r="F25" s="24" t="n">
        <f aca="false">ROUND($C25*$N$6*$N$9,0)</f>
        <v>670114</v>
      </c>
      <c r="G25" s="24" t="n">
        <f aca="false">ROUND($C25*$N$6*$N$10,0)</f>
        <v>111686</v>
      </c>
      <c r="H25" s="24" t="n">
        <f aca="false">ROUND($C25*$N$6*$N$11,0)</f>
        <v>279214</v>
      </c>
      <c r="I25" s="24" t="n">
        <f aca="false">ROUND($C25*$N$6*$N$12,0)</f>
        <v>167529</v>
      </c>
      <c r="J25" s="25" t="n">
        <f aca="false">IF(SUM(D25:I25)=0,"",SUM(D25:I25))</f>
        <v>5584285</v>
      </c>
      <c r="K25" s="26" t="s">
        <v>58</v>
      </c>
    </row>
    <row r="26" customFormat="false" ht="15" hidden="false" customHeight="true" outlineLevel="0" collapsed="false">
      <c r="B26" s="32" t="s">
        <v>86</v>
      </c>
      <c r="C26" s="33" t="n">
        <v>3361292</v>
      </c>
      <c r="D26" s="33" t="n">
        <f aca="false">ROUND($C26*$N$6*$N$7,0)</f>
        <v>1855433</v>
      </c>
      <c r="E26" s="33" t="n">
        <f aca="false">ROUND($C26*$N$6*$N$8,0)</f>
        <v>1290736</v>
      </c>
      <c r="F26" s="33" t="n">
        <f aca="false">ROUND($C26*$N$6*$N$9,0)</f>
        <v>484026</v>
      </c>
      <c r="G26" s="33" t="n">
        <f aca="false">ROUND($C26*$N$6*$N$10,0)</f>
        <v>80671</v>
      </c>
      <c r="H26" s="33" t="n">
        <f aca="false">ROUND($C26*$N$6*$N$11,0)</f>
        <v>201678</v>
      </c>
      <c r="I26" s="33" t="n">
        <f aca="false">ROUND($C26*$N$6*$N$12,0)</f>
        <v>121007</v>
      </c>
      <c r="J26" s="34" t="n">
        <f aca="false">IF(SUM(D26:I26)=0,"",SUM(D26:I26))</f>
        <v>4033551</v>
      </c>
      <c r="K26" s="35" t="s">
        <v>58</v>
      </c>
    </row>
    <row r="27" customFormat="false" ht="15" hidden="false" customHeight="true" outlineLevel="0" collapsed="false">
      <c r="B27" s="32" t="s">
        <v>87</v>
      </c>
      <c r="C27" s="33" t="n">
        <v>1648295</v>
      </c>
      <c r="D27" s="33" t="n">
        <f aca="false">ROUND($C27*$N$6*$N$7,0)</f>
        <v>909859</v>
      </c>
      <c r="E27" s="33" t="n">
        <f aca="false">ROUND($C27*$N$6*$N$8,0)</f>
        <v>632945</v>
      </c>
      <c r="F27" s="33" t="n">
        <f aca="false">ROUND($C27*$N$6*$N$9,0)</f>
        <v>237354</v>
      </c>
      <c r="G27" s="33" t="n">
        <f aca="false">ROUND($C27*$N$6*$N$10,0)</f>
        <v>39559</v>
      </c>
      <c r="H27" s="33" t="n">
        <f aca="false">ROUND($C27*$N$6*$N$11,0)</f>
        <v>98898</v>
      </c>
      <c r="I27" s="33" t="n">
        <f aca="false">ROUND($C27*$N$6*$N$12,0)</f>
        <v>59339</v>
      </c>
      <c r="J27" s="34" t="n">
        <f aca="false">IF(SUM(D27:I27)=0,"",SUM(D27:I27))</f>
        <v>1977954</v>
      </c>
      <c r="K27" s="35" t="s">
        <v>58</v>
      </c>
    </row>
    <row r="28" customFormat="false" ht="15" hidden="false" customHeight="true" outlineLevel="0" collapsed="false">
      <c r="B28" s="32" t="s">
        <v>88</v>
      </c>
      <c r="C28" s="33" t="n">
        <v>6107187</v>
      </c>
      <c r="D28" s="33" t="n">
        <f aca="false">ROUND($C28*$N$6*$N$7,0)</f>
        <v>3371167</v>
      </c>
      <c r="E28" s="33" t="n">
        <f aca="false">ROUND($C28*$N$6*$N$8,0)</f>
        <v>2345160</v>
      </c>
      <c r="F28" s="33" t="n">
        <f aca="false">ROUND($C28*$N$6*$N$9,0)</f>
        <v>879435</v>
      </c>
      <c r="G28" s="33" t="n">
        <f aca="false">ROUND($C28*$N$6*$N$10,0)</f>
        <v>146572</v>
      </c>
      <c r="H28" s="33" t="n">
        <f aca="false">ROUND($C28*$N$6*$N$11,0)</f>
        <v>366431</v>
      </c>
      <c r="I28" s="33" t="n">
        <f aca="false">ROUND($C28*$N$6*$N$12,0)</f>
        <v>219859</v>
      </c>
      <c r="J28" s="34" t="n">
        <f aca="false">IF(SUM(D28:I28)=0,"",SUM(D28:I28))</f>
        <v>7328624</v>
      </c>
      <c r="K28" s="35" t="s">
        <v>58</v>
      </c>
    </row>
    <row r="29" customFormat="false" ht="15" hidden="false" customHeight="true" outlineLevel="0" collapsed="false">
      <c r="B29" s="32" t="s">
        <v>89</v>
      </c>
      <c r="C29" s="33" t="n">
        <v>2990116</v>
      </c>
      <c r="D29" s="33" t="n">
        <f aca="false">ROUND($C29*$N$6*$N$7,0)</f>
        <v>1650544</v>
      </c>
      <c r="E29" s="33" t="n">
        <f aca="false">ROUND($C29*$N$6*$N$8,0)</f>
        <v>1148205</v>
      </c>
      <c r="F29" s="33" t="n">
        <f aca="false">ROUND($C29*$N$6*$N$9,0)</f>
        <v>430577</v>
      </c>
      <c r="G29" s="33" t="n">
        <f aca="false">ROUND($C29*$N$6*$N$10,0)</f>
        <v>71763</v>
      </c>
      <c r="H29" s="33" t="n">
        <f aca="false">ROUND($C29*$N$6*$N$11,0)</f>
        <v>179407</v>
      </c>
      <c r="I29" s="33" t="n">
        <f aca="false">ROUND($C29*$N$6*$N$12,0)</f>
        <v>107644</v>
      </c>
      <c r="J29" s="34" t="n">
        <f aca="false">IF(SUM(D29:I29)=0,"",SUM(D29:I29))</f>
        <v>3588140</v>
      </c>
      <c r="K29" s="35" t="s">
        <v>58</v>
      </c>
    </row>
    <row r="30" customFormat="false" ht="15" hidden="false" customHeight="true" outlineLevel="0" collapsed="false">
      <c r="B30" s="32" t="s">
        <v>90</v>
      </c>
      <c r="C30" s="33" t="n">
        <v>1835982</v>
      </c>
      <c r="D30" s="33" t="n">
        <f aca="false">ROUND($C30*$N$6*$N$7,0)</f>
        <v>1013462</v>
      </c>
      <c r="E30" s="33" t="n">
        <f aca="false">ROUND($C30*$N$6*$N$8,0)</f>
        <v>705017</v>
      </c>
      <c r="F30" s="33" t="n">
        <f aca="false">ROUND($C30*$N$6*$N$9,0)</f>
        <v>264381</v>
      </c>
      <c r="G30" s="33" t="n">
        <f aca="false">ROUND($C30*$N$6*$N$10,0)</f>
        <v>44064</v>
      </c>
      <c r="H30" s="33" t="n">
        <f aca="false">ROUND($C30*$N$6*$N$11,0)</f>
        <v>110159</v>
      </c>
      <c r="I30" s="33" t="n">
        <f aca="false">ROUND($C30*$N$6*$N$12,0)</f>
        <v>66095</v>
      </c>
      <c r="J30" s="34" t="n">
        <f aca="false">IF(SUM(D30:I30)=0,"",SUM(D30:I30))</f>
        <v>2203178</v>
      </c>
      <c r="K30" s="35" t="s">
        <v>58</v>
      </c>
    </row>
    <row r="31" customFormat="false" ht="15" hidden="false" customHeight="true" outlineLevel="0" collapsed="false">
      <c r="B31" s="32" t="s">
        <v>91</v>
      </c>
      <c r="C31" s="33" t="n">
        <v>9429408</v>
      </c>
      <c r="D31" s="33" t="n">
        <f aca="false">ROUND($C31*$N$6*$N$7,0)</f>
        <v>5205033</v>
      </c>
      <c r="E31" s="33" t="n">
        <f aca="false">ROUND($C31*$N$6*$N$8,0)</f>
        <v>3620893</v>
      </c>
      <c r="F31" s="33" t="n">
        <f aca="false">ROUND($C31*$N$6*$N$9,0)</f>
        <v>1357835</v>
      </c>
      <c r="G31" s="33" t="n">
        <f aca="false">ROUND($C31*$N$6*$N$10,0)</f>
        <v>226306</v>
      </c>
      <c r="H31" s="33" t="n">
        <f aca="false">ROUND($C31*$N$6*$N$11,0)</f>
        <v>565764</v>
      </c>
      <c r="I31" s="33" t="n">
        <f aca="false">ROUND($C31*$N$6*$N$12,0)</f>
        <v>339459</v>
      </c>
      <c r="J31" s="34" t="n">
        <f aca="false">IF(SUM(D31:I31)=0,"",SUM(D31:I31))</f>
        <v>11315290</v>
      </c>
      <c r="K31" s="35" t="s">
        <v>58</v>
      </c>
    </row>
    <row r="32" customFormat="false" ht="15" hidden="false" customHeight="true" outlineLevel="0" collapsed="false">
      <c r="B32" s="32" t="s">
        <v>92</v>
      </c>
      <c r="C32" s="33" t="n">
        <v>2634200</v>
      </c>
      <c r="D32" s="33" t="n">
        <f aca="false">ROUND($C32*$N$6*$N$7,0)</f>
        <v>1454078</v>
      </c>
      <c r="E32" s="33" t="n">
        <f aca="false">ROUND($C32*$N$6*$N$8,0)</f>
        <v>1011533</v>
      </c>
      <c r="F32" s="33" t="n">
        <f aca="false">ROUND($C32*$N$6*$N$9,0)</f>
        <v>379325</v>
      </c>
      <c r="G32" s="33" t="n">
        <f aca="false">ROUND($C32*$N$6*$N$10,0)</f>
        <v>63221</v>
      </c>
      <c r="H32" s="33" t="n">
        <f aca="false">ROUND($C32*$N$6*$N$11,0)</f>
        <v>158052</v>
      </c>
      <c r="I32" s="33" t="n">
        <f aca="false">ROUND($C32*$N$6*$N$12,0)</f>
        <v>94831</v>
      </c>
      <c r="J32" s="34" t="n">
        <f aca="false">IF(SUM(D32:I32)=0,"",SUM(D32:I32))</f>
        <v>3161040</v>
      </c>
      <c r="K32" s="35" t="s">
        <v>58</v>
      </c>
    </row>
    <row r="33" customFormat="false" ht="15" hidden="false" customHeight="true" outlineLevel="0" collapsed="false">
      <c r="B33" s="32" t="s">
        <v>93</v>
      </c>
      <c r="C33" s="33" t="n">
        <v>1615069</v>
      </c>
      <c r="D33" s="33" t="n">
        <f aca="false">ROUND($C33*$N$6*$N$7,0)</f>
        <v>891518</v>
      </c>
      <c r="E33" s="33" t="n">
        <f aca="false">ROUND($C33*$N$6*$N$8,0)</f>
        <v>620186</v>
      </c>
      <c r="F33" s="33" t="n">
        <f aca="false">ROUND($C33*$N$6*$N$9,0)</f>
        <v>232570</v>
      </c>
      <c r="G33" s="33" t="n">
        <f aca="false">ROUND($C33*$N$6*$N$10,0)</f>
        <v>38762</v>
      </c>
      <c r="H33" s="33" t="n">
        <f aca="false">ROUND($C33*$N$6*$N$11,0)</f>
        <v>96904</v>
      </c>
      <c r="I33" s="33" t="n">
        <f aca="false">ROUND($C33*$N$6*$N$12,0)</f>
        <v>58142</v>
      </c>
      <c r="J33" s="34" t="n">
        <f aca="false">IF(SUM(D33:I33)=0,"",SUM(D33:I33))</f>
        <v>1938082</v>
      </c>
      <c r="K33" s="35" t="s">
        <v>58</v>
      </c>
    </row>
    <row r="34" customFormat="false" ht="15" hidden="false" customHeight="true" outlineLevel="0" collapsed="false">
      <c r="B34" s="32" t="s">
        <v>94</v>
      </c>
      <c r="C34" s="33" t="n">
        <v>2822143</v>
      </c>
      <c r="D34" s="33" t="n">
        <f aca="false">ROUND($C34*$N$6*$N$7,0)</f>
        <v>1557823</v>
      </c>
      <c r="E34" s="33" t="n">
        <f aca="false">ROUND($C34*$N$6*$N$8,0)</f>
        <v>1083703</v>
      </c>
      <c r="F34" s="33" t="n">
        <f aca="false">ROUND($C34*$N$6*$N$9,0)</f>
        <v>406389</v>
      </c>
      <c r="G34" s="33" t="n">
        <f aca="false">ROUND($C34*$N$6*$N$10,0)</f>
        <v>67731</v>
      </c>
      <c r="H34" s="33" t="n">
        <f aca="false">ROUND($C34*$N$6*$N$11,0)</f>
        <v>169329</v>
      </c>
      <c r="I34" s="33" t="n">
        <f aca="false">ROUND($C34*$N$6*$N$12,0)</f>
        <v>101597</v>
      </c>
      <c r="J34" s="34" t="n">
        <f aca="false">IF(SUM(D34:I34)=0,"",SUM(D34:I34))</f>
        <v>3386572</v>
      </c>
      <c r="K34" s="35" t="s">
        <v>58</v>
      </c>
    </row>
    <row r="35" customFormat="false" ht="15" hidden="false" customHeight="true" outlineLevel="0" collapsed="false">
      <c r="B35" s="32" t="s">
        <v>95</v>
      </c>
      <c r="C35" s="33" t="n">
        <v>3003741</v>
      </c>
      <c r="D35" s="33" t="n">
        <f aca="false">ROUND($C35*$N$6*$N$7,0)</f>
        <v>1658065</v>
      </c>
      <c r="E35" s="33" t="n">
        <f aca="false">ROUND($C35*$N$6*$N$8,0)</f>
        <v>1153437</v>
      </c>
      <c r="F35" s="33" t="n">
        <f aca="false">ROUND($C35*$N$6*$N$9,0)</f>
        <v>432539</v>
      </c>
      <c r="G35" s="33" t="n">
        <f aca="false">ROUND($C35*$N$6*$N$10,0)</f>
        <v>72090</v>
      </c>
      <c r="H35" s="33" t="n">
        <f aca="false">ROUND($C35*$N$6*$N$11,0)</f>
        <v>180224</v>
      </c>
      <c r="I35" s="33" t="n">
        <f aca="false">ROUND($C35*$N$6*$N$12,0)</f>
        <v>108135</v>
      </c>
      <c r="J35" s="34" t="n">
        <f aca="false">IF(SUM(D35:I35)=0,"",SUM(D35:I35))</f>
        <v>3604490</v>
      </c>
      <c r="K35" s="35" t="s">
        <v>58</v>
      </c>
    </row>
    <row r="36" customFormat="false" ht="15" hidden="false" customHeight="true" outlineLevel="0" collapsed="false">
      <c r="B36" s="32" t="s">
        <v>96</v>
      </c>
      <c r="C36" s="33" t="n">
        <v>849651</v>
      </c>
      <c r="D36" s="33" t="n">
        <f aca="false">ROUND($C36*$N$6*$N$7,0)</f>
        <v>469007</v>
      </c>
      <c r="E36" s="33" t="n">
        <f aca="false">ROUND($C36*$N$6*$N$8,0)</f>
        <v>326266</v>
      </c>
      <c r="F36" s="33" t="n">
        <f aca="false">ROUND($C36*$N$6*$N$9,0)</f>
        <v>122350</v>
      </c>
      <c r="G36" s="33" t="n">
        <f aca="false">ROUND($C36*$N$6*$N$10,0)</f>
        <v>20392</v>
      </c>
      <c r="H36" s="33" t="n">
        <f aca="false">ROUND($C36*$N$6*$N$11,0)</f>
        <v>50979</v>
      </c>
      <c r="I36" s="33" t="n">
        <f aca="false">ROUND($C36*$N$6*$N$12,0)</f>
        <v>30587</v>
      </c>
      <c r="J36" s="34" t="n">
        <f aca="false">IF(SUM(D36:I36)=0,"",SUM(D36:I36))</f>
        <v>1019581</v>
      </c>
      <c r="K36" s="35" t="s">
        <v>58</v>
      </c>
    </row>
    <row r="37" customFormat="false" ht="15" hidden="false" customHeight="true" outlineLevel="0" collapsed="false">
      <c r="B37" s="32" t="s">
        <v>97</v>
      </c>
      <c r="C37" s="33" t="n">
        <v>4317756</v>
      </c>
      <c r="D37" s="33" t="n">
        <f aca="false">ROUND($C37*$N$6*$N$7,0)</f>
        <v>2383401</v>
      </c>
      <c r="E37" s="33" t="n">
        <f aca="false">ROUND($C37*$N$6*$N$8,0)</f>
        <v>1658018</v>
      </c>
      <c r="F37" s="33" t="n">
        <f aca="false">ROUND($C37*$N$6*$N$9,0)</f>
        <v>621757</v>
      </c>
      <c r="G37" s="33" t="n">
        <f aca="false">ROUND($C37*$N$6*$N$10,0)</f>
        <v>103626</v>
      </c>
      <c r="H37" s="33" t="n">
        <f aca="false">ROUND($C37*$N$6*$N$11,0)</f>
        <v>259065</v>
      </c>
      <c r="I37" s="33" t="n">
        <f aca="false">ROUND($C37*$N$6*$N$12,0)</f>
        <v>155439</v>
      </c>
      <c r="J37" s="34" t="n">
        <f aca="false">IF(SUM(D37:I37)=0,"",SUM(D37:I37))</f>
        <v>5181306</v>
      </c>
      <c r="K37" s="35" t="s">
        <v>58</v>
      </c>
    </row>
    <row r="38" customFormat="false" ht="15" hidden="false" customHeight="true" outlineLevel="0" collapsed="false">
      <c r="B38" s="32" t="s">
        <v>98</v>
      </c>
      <c r="C38" s="33" t="n">
        <v>8070032</v>
      </c>
      <c r="D38" s="33" t="n">
        <f aca="false">ROUND($C38*$N$6*$N$7,0)</f>
        <v>4454658</v>
      </c>
      <c r="E38" s="33" t="n">
        <f aca="false">ROUND($C38*$N$6*$N$8,0)</f>
        <v>3098892</v>
      </c>
      <c r="F38" s="33" t="n">
        <f aca="false">ROUND($C38*$N$6*$N$9,0)</f>
        <v>1162085</v>
      </c>
      <c r="G38" s="33" t="n">
        <f aca="false">ROUND($C38*$N$6*$N$10,0)</f>
        <v>193681</v>
      </c>
      <c r="H38" s="33" t="n">
        <f aca="false">ROUND($C38*$N$6*$N$11,0)</f>
        <v>484202</v>
      </c>
      <c r="I38" s="33" t="n">
        <f aca="false">ROUND($C38*$N$6*$N$12,0)</f>
        <v>290521</v>
      </c>
      <c r="J38" s="34" t="n">
        <f aca="false">IF(SUM(D38:I38)=0,"",SUM(D38:I38))</f>
        <v>9684039</v>
      </c>
      <c r="K38" s="35" t="s">
        <v>58</v>
      </c>
    </row>
    <row r="39" customFormat="false" ht="15" hidden="false" customHeight="true" outlineLevel="0" collapsed="false">
      <c r="B39" s="32" t="s">
        <v>99</v>
      </c>
      <c r="C39" s="33" t="n">
        <v>1296157</v>
      </c>
      <c r="D39" s="33" t="n">
        <f aca="false">ROUND($C39*$N$6*$N$7,0)</f>
        <v>715479</v>
      </c>
      <c r="E39" s="33" t="n">
        <f aca="false">ROUND($C39*$N$6*$N$8,0)</f>
        <v>497724</v>
      </c>
      <c r="F39" s="33" t="n">
        <f aca="false">ROUND($C39*$N$6*$N$9,0)</f>
        <v>186647</v>
      </c>
      <c r="G39" s="33" t="n">
        <f aca="false">ROUND($C39*$N$6*$N$10,0)</f>
        <v>31108</v>
      </c>
      <c r="H39" s="33" t="n">
        <f aca="false">ROUND($C39*$N$6*$N$11,0)</f>
        <v>77769</v>
      </c>
      <c r="I39" s="33" t="n">
        <f aca="false">ROUND($C39*$N$6*$N$12,0)</f>
        <v>46662</v>
      </c>
      <c r="J39" s="34" t="n">
        <f aca="false">IF(SUM(D39:I39)=0,"",SUM(D39:I39))</f>
        <v>1555389</v>
      </c>
      <c r="K39" s="35" t="s">
        <v>58</v>
      </c>
    </row>
    <row r="40" customFormat="false" ht="15" hidden="false" customHeight="true" outlineLevel="0" collapsed="false">
      <c r="B40" s="32" t="s">
        <v>100</v>
      </c>
      <c r="C40" s="33" t="n">
        <v>1197160</v>
      </c>
      <c r="D40" s="33" t="n">
        <f aca="false">ROUND($C40*$N$6*$N$7,0)</f>
        <v>660832</v>
      </c>
      <c r="E40" s="33" t="n">
        <f aca="false">ROUND($C40*$N$6*$N$8,0)</f>
        <v>459709</v>
      </c>
      <c r="F40" s="33" t="n">
        <f aca="false">ROUND($C40*$N$6*$N$9,0)</f>
        <v>172391</v>
      </c>
      <c r="G40" s="33" t="n">
        <f aca="false">ROUND($C40*$N$6*$N$10,0)</f>
        <v>28732</v>
      </c>
      <c r="H40" s="33" t="n">
        <f aca="false">ROUND($C40*$N$6*$N$11,0)</f>
        <v>71830</v>
      </c>
      <c r="I40" s="33" t="n">
        <f aca="false">ROUND($C40*$N$6*$N$12,0)</f>
        <v>43098</v>
      </c>
      <c r="J40" s="34" t="n">
        <f aca="false">IF(SUM(D40:I40)=0,"",SUM(D40:I40))</f>
        <v>1436592</v>
      </c>
      <c r="K40" s="35" t="s">
        <v>58</v>
      </c>
    </row>
    <row r="41" customFormat="false" ht="15" hidden="false" customHeight="true" outlineLevel="0" collapsed="false">
      <c r="B41" s="32" t="s">
        <v>101</v>
      </c>
      <c r="C41" s="33" t="n">
        <v>2772348</v>
      </c>
      <c r="D41" s="33" t="n">
        <f aca="false">ROUND($C41*$N$6*$N$7,0)</f>
        <v>1530336</v>
      </c>
      <c r="E41" s="33" t="n">
        <f aca="false">ROUND($C41*$N$6*$N$8,0)</f>
        <v>1064582</v>
      </c>
      <c r="F41" s="33" t="n">
        <f aca="false">ROUND($C41*$N$6*$N$9,0)</f>
        <v>399218</v>
      </c>
      <c r="G41" s="33" t="n">
        <f aca="false">ROUND($C41*$N$6*$N$10,0)</f>
        <v>66536</v>
      </c>
      <c r="H41" s="33" t="n">
        <f aca="false">ROUND($C41*$N$6*$N$11,0)</f>
        <v>166341</v>
      </c>
      <c r="I41" s="33" t="n">
        <f aca="false">ROUND($C41*$N$6*$N$12,0)</f>
        <v>99805</v>
      </c>
      <c r="J41" s="34" t="n">
        <f aca="false">IF(SUM(D41:I41)=0,"",SUM(D41:I41))</f>
        <v>3326818</v>
      </c>
      <c r="K41" s="35" t="s">
        <v>58</v>
      </c>
    </row>
    <row r="43" customFormat="false" ht="15" hidden="false" customHeight="true" outlineLevel="0" collapsed="false">
      <c r="B43" s="36" t="s">
        <v>102</v>
      </c>
      <c r="C43" s="37" t="n">
        <f aca="false">SUM(C6:C41)</f>
        <v>112369436</v>
      </c>
      <c r="D43" s="37" t="n">
        <f aca="false">SUM(D6:D41)</f>
        <v>62027927</v>
      </c>
      <c r="E43" s="37" t="n">
        <f aca="false">SUM(E6:E41)</f>
        <v>43149862</v>
      </c>
      <c r="F43" s="37" t="n">
        <f aca="false">SUM(F6:F41)</f>
        <v>16181201</v>
      </c>
      <c r="G43" s="37" t="n">
        <f aca="false">SUM(G6:G41)</f>
        <v>2696869</v>
      </c>
      <c r="H43" s="37" t="n">
        <f aca="false">SUM(H6:H41)</f>
        <v>6742168</v>
      </c>
      <c r="I43" s="37" t="n">
        <f aca="false">SUM(I6:I41)</f>
        <v>4045302</v>
      </c>
      <c r="J43" s="37" t="n">
        <f aca="false">SUM(J6:J41)</f>
        <v>134843329</v>
      </c>
      <c r="K43" s="36"/>
    </row>
  </sheetData>
  <mergeCells count="3">
    <mergeCell ref="A2:J2"/>
    <mergeCell ref="B3:K3"/>
    <mergeCell ref="M5:N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13" min="13" style="1" width="40"/>
    <col collapsed="false" customWidth="true" hidden="false" outlineLevel="0" max="14" min="14" style="1" width="10"/>
  </cols>
  <sheetData>
    <row r="2" customFormat="false" ht="25.5" hidden="false" customHeight="true" outlineLevel="0" collapsed="false">
      <c r="A2" s="2" t="s">
        <v>103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104</v>
      </c>
      <c r="C3" s="3"/>
      <c r="D3" s="3"/>
      <c r="E3" s="3"/>
      <c r="F3" s="3"/>
      <c r="G3" s="3"/>
      <c r="H3" s="3"/>
    </row>
    <row r="5" customFormat="false" ht="30" hidden="false" customHeight="true" outlineLevel="0" collapsed="false">
      <c r="B5" s="7" t="s">
        <v>46</v>
      </c>
      <c r="C5" s="7" t="s">
        <v>105</v>
      </c>
      <c r="D5" s="7" t="s">
        <v>106</v>
      </c>
      <c r="E5" s="7" t="s">
        <v>107</v>
      </c>
      <c r="F5" s="7" t="s">
        <v>108</v>
      </c>
      <c r="G5" s="7" t="s">
        <v>109</v>
      </c>
      <c r="H5" s="7" t="s">
        <v>110</v>
      </c>
      <c r="M5" s="22" t="s">
        <v>56</v>
      </c>
      <c r="N5" s="22"/>
    </row>
    <row r="6" customFormat="false" ht="23.25" hidden="false" customHeight="true" outlineLevel="0" collapsed="false">
      <c r="B6" s="23" t="s">
        <v>57</v>
      </c>
      <c r="C6" s="25" t="n">
        <f aca="false">IFERROR(INDEX(1_Generation_Inventory!$J$6:$J$41,MATCH(B6,1_Generation_Inventory!$B$6:$B$41,0)),"")</f>
        <v>5451792</v>
      </c>
      <c r="D6" s="24" t="n">
        <f aca="false">ROUND($C6*$N$6,0)</f>
        <v>3854962</v>
      </c>
      <c r="E6" s="38"/>
      <c r="F6" s="24" t="n">
        <f aca="false">ROUND($C6*$N$7,0)</f>
        <v>3816254</v>
      </c>
      <c r="G6" s="24" t="n">
        <f aca="false">ROUND($C6*$N$6,0)</f>
        <v>3854962</v>
      </c>
      <c r="H6" s="26" t="s">
        <v>111</v>
      </c>
      <c r="M6" s="27" t="s">
        <v>112</v>
      </c>
      <c r="N6" s="39" t="n">
        <v>0.7071</v>
      </c>
    </row>
    <row r="7" customFormat="false" ht="15" hidden="false" customHeight="true" outlineLevel="0" collapsed="false">
      <c r="B7" s="23" t="s">
        <v>60</v>
      </c>
      <c r="C7" s="25" t="n">
        <f aca="false">IFERROR(INDEX(1_Generation_Inventory!$J$6:$J$41,MATCH(B7,1_Generation_Inventory!$B$6:$B$41,0)),"")</f>
        <v>2176687</v>
      </c>
      <c r="D7" s="24" t="n">
        <f aca="false">ROUND($C7*$N$6,0)</f>
        <v>1539135</v>
      </c>
      <c r="E7" s="38"/>
      <c r="F7" s="24" t="n">
        <f aca="false">ROUND($C7*$N$7,0)</f>
        <v>1523681</v>
      </c>
      <c r="G7" s="24" t="n">
        <f aca="false">ROUND($C7*$N$6,0)</f>
        <v>1539135</v>
      </c>
      <c r="H7" s="26" t="s">
        <v>111</v>
      </c>
      <c r="M7" s="27" t="s">
        <v>113</v>
      </c>
      <c r="N7" s="39" t="n">
        <v>0.7</v>
      </c>
    </row>
    <row r="8" customFormat="false" ht="15" hidden="false" customHeight="true" outlineLevel="0" collapsed="false">
      <c r="B8" s="23" t="s">
        <v>62</v>
      </c>
      <c r="C8" s="25" t="n">
        <f aca="false">IFERROR(INDEX(1_Generation_Inventory!$J$6:$J$41,MATCH(B8,1_Generation_Inventory!$B$6:$B$41,0)),"")</f>
        <v>3466135</v>
      </c>
      <c r="D8" s="24" t="n">
        <f aca="false">ROUND($C8*$N$6,0)</f>
        <v>2450904</v>
      </c>
      <c r="E8" s="38"/>
      <c r="F8" s="24" t="n">
        <f aca="false">ROUND($C8*$N$7,0)</f>
        <v>2426295</v>
      </c>
      <c r="G8" s="24" t="n">
        <f aca="false">ROUND($C8*$N$6,0)</f>
        <v>2450904</v>
      </c>
      <c r="H8" s="26" t="s">
        <v>111</v>
      </c>
    </row>
    <row r="9" customFormat="false" ht="15" hidden="false" customHeight="true" outlineLevel="0" collapsed="false">
      <c r="B9" s="23" t="s">
        <v>64</v>
      </c>
      <c r="C9" s="25" t="n">
        <f aca="false">IFERROR(INDEX(1_Generation_Inventory!$J$6:$J$41,MATCH(B9,1_Generation_Inventory!$B$6:$B$41,0)),"")</f>
        <v>3102059</v>
      </c>
      <c r="D9" s="24" t="n">
        <f aca="false">ROUND($C9*$N$6,0)</f>
        <v>2193466</v>
      </c>
      <c r="E9" s="38"/>
      <c r="F9" s="24" t="n">
        <f aca="false">ROUND($C9*$N$7,0)</f>
        <v>2171441</v>
      </c>
      <c r="G9" s="24" t="n">
        <f aca="false">ROUND($C9*$N$6,0)</f>
        <v>2193466</v>
      </c>
      <c r="H9" s="26" t="s">
        <v>111</v>
      </c>
    </row>
    <row r="10" customFormat="false" ht="15" hidden="false" customHeight="true" outlineLevel="0" collapsed="false">
      <c r="B10" s="23" t="s">
        <v>66</v>
      </c>
      <c r="C10" s="25" t="n">
        <f aca="false">IFERROR(INDEX(1_Generation_Inventory!$J$6:$J$41,MATCH(B10,1_Generation_Inventory!$B$6:$B$41,0)),"")</f>
        <v>1440400</v>
      </c>
      <c r="D10" s="24" t="n">
        <f aca="false">ROUND($C10*$N$6,0)</f>
        <v>1018507</v>
      </c>
      <c r="E10" s="38"/>
      <c r="F10" s="24" t="n">
        <f aca="false">ROUND($C10*$N$7,0)</f>
        <v>1008280</v>
      </c>
      <c r="G10" s="24" t="n">
        <f aca="false">ROUND($C10*$N$6,0)</f>
        <v>1018507</v>
      </c>
      <c r="H10" s="26" t="s">
        <v>111</v>
      </c>
    </row>
    <row r="11" customFormat="false" ht="15" hidden="false" customHeight="true" outlineLevel="0" collapsed="false">
      <c r="B11" s="23" t="s">
        <v>68</v>
      </c>
      <c r="C11" s="25" t="n">
        <f aca="false">IFERROR(INDEX(1_Generation_Inventory!$J$6:$J$41,MATCH(B11,1_Generation_Inventory!$B$6:$B$41,0)),"")</f>
        <v>3103508</v>
      </c>
      <c r="D11" s="24" t="n">
        <f aca="false">ROUND($C11*$N$6,0)</f>
        <v>2194491</v>
      </c>
      <c r="E11" s="38"/>
      <c r="F11" s="24" t="n">
        <f aca="false">ROUND($C11*$N$7,0)</f>
        <v>2172456</v>
      </c>
      <c r="G11" s="24" t="n">
        <f aca="false">ROUND($C11*$N$6,0)</f>
        <v>2194491</v>
      </c>
      <c r="H11" s="26" t="s">
        <v>111</v>
      </c>
    </row>
    <row r="12" customFormat="false" ht="15" hidden="false" customHeight="true" outlineLevel="0" collapsed="false">
      <c r="B12" s="23" t="s">
        <v>70</v>
      </c>
      <c r="C12" s="25" t="n">
        <f aca="false">IFERROR(INDEX(1_Generation_Inventory!$J$6:$J$41,MATCH(B12,1_Generation_Inventory!$B$6:$B$41,0)),"")</f>
        <v>2645167</v>
      </c>
      <c r="D12" s="24" t="n">
        <f aca="false">ROUND($C12*$N$6,0)</f>
        <v>1870398</v>
      </c>
      <c r="E12" s="38"/>
      <c r="F12" s="24" t="n">
        <f aca="false">ROUND($C12*$N$7,0)</f>
        <v>1851617</v>
      </c>
      <c r="G12" s="24" t="n">
        <f aca="false">ROUND($C12*$N$6,0)</f>
        <v>1870398</v>
      </c>
      <c r="H12" s="26" t="s">
        <v>111</v>
      </c>
    </row>
    <row r="13" customFormat="false" ht="15" hidden="false" customHeight="true" outlineLevel="0" collapsed="false">
      <c r="B13" s="23" t="s">
        <v>72</v>
      </c>
      <c r="C13" s="25" t="n">
        <f aca="false">IFERROR(INDEX(1_Generation_Inventory!$J$6:$J$41,MATCH(B13,1_Generation_Inventory!$B$6:$B$41,0)),"")</f>
        <v>4441539</v>
      </c>
      <c r="D13" s="24" t="n">
        <f aca="false">ROUND($C13*$N$6,0)</f>
        <v>3140612</v>
      </c>
      <c r="E13" s="38"/>
      <c r="F13" s="24" t="n">
        <f aca="false">ROUND($C13*$N$7,0)</f>
        <v>3109077</v>
      </c>
      <c r="G13" s="24" t="n">
        <f aca="false">ROUND($C13*$N$6,0)</f>
        <v>3140612</v>
      </c>
      <c r="H13" s="26" t="s">
        <v>111</v>
      </c>
    </row>
    <row r="14" customFormat="false" ht="15" hidden="false" customHeight="true" outlineLevel="0" collapsed="false">
      <c r="B14" s="23" t="s">
        <v>74</v>
      </c>
      <c r="C14" s="25" t="n">
        <f aca="false">IFERROR(INDEX(1_Generation_Inventory!$J$6:$J$41,MATCH(B14,1_Generation_Inventory!$B$6:$B$41,0)),"")</f>
        <v>1989092</v>
      </c>
      <c r="D14" s="24" t="n">
        <f aca="false">ROUND($C14*$N$6,0)</f>
        <v>1406487</v>
      </c>
      <c r="E14" s="38"/>
      <c r="F14" s="24" t="n">
        <f aca="false">ROUND($C14*$N$7,0)</f>
        <v>1392364</v>
      </c>
      <c r="G14" s="24" t="n">
        <f aca="false">ROUND($C14*$N$6,0)</f>
        <v>1406487</v>
      </c>
      <c r="H14" s="26" t="s">
        <v>111</v>
      </c>
    </row>
    <row r="15" customFormat="false" ht="15" hidden="false" customHeight="true" outlineLevel="0" collapsed="false">
      <c r="B15" s="23" t="s">
        <v>75</v>
      </c>
      <c r="C15" s="25" t="n">
        <f aca="false">IFERROR(INDEX(1_Generation_Inventory!$J$6:$J$41,MATCH(B15,1_Generation_Inventory!$B$6:$B$41,0)),"")</f>
        <v>2461035</v>
      </c>
      <c r="D15" s="24" t="n">
        <f aca="false">ROUND($C15*$N$6,0)</f>
        <v>1740198</v>
      </c>
      <c r="E15" s="38"/>
      <c r="F15" s="24" t="n">
        <f aca="false">ROUND($C15*$N$7,0)</f>
        <v>1722725</v>
      </c>
      <c r="G15" s="24" t="n">
        <f aca="false">ROUND($C15*$N$6,0)</f>
        <v>1740198</v>
      </c>
      <c r="H15" s="26" t="s">
        <v>111</v>
      </c>
    </row>
    <row r="16" customFormat="false" ht="15" hidden="false" customHeight="true" outlineLevel="0" collapsed="false">
      <c r="B16" s="23" t="s">
        <v>76</v>
      </c>
      <c r="C16" s="25" t="n">
        <f aca="false">IFERROR(INDEX(1_Generation_Inventory!$J$6:$J$41,MATCH(B16,1_Generation_Inventory!$B$6:$B$41,0)),"")</f>
        <v>1287532</v>
      </c>
      <c r="D16" s="24" t="n">
        <f aca="false">ROUND($C16*$N$6,0)</f>
        <v>910414</v>
      </c>
      <c r="E16" s="38"/>
      <c r="F16" s="24" t="n">
        <f aca="false">ROUND($C16*$N$7,0)</f>
        <v>901272</v>
      </c>
      <c r="G16" s="24" t="n">
        <f aca="false">ROUND($C16*$N$6,0)</f>
        <v>910414</v>
      </c>
      <c r="H16" s="26" t="s">
        <v>111</v>
      </c>
    </row>
    <row r="17" customFormat="false" ht="15" hidden="false" customHeight="true" outlineLevel="0" collapsed="false">
      <c r="B17" s="23" t="s">
        <v>77</v>
      </c>
      <c r="C17" s="25" t="n">
        <f aca="false">IFERROR(INDEX(1_Generation_Inventory!$J$6:$J$41,MATCH(B17,1_Generation_Inventory!$B$6:$B$41,0)),"")</f>
        <v>1586798</v>
      </c>
      <c r="D17" s="24" t="n">
        <f aca="false">ROUND($C17*$N$6,0)</f>
        <v>1122025</v>
      </c>
      <c r="E17" s="38"/>
      <c r="F17" s="24" t="n">
        <f aca="false">ROUND($C17*$N$7,0)</f>
        <v>1110759</v>
      </c>
      <c r="G17" s="24" t="n">
        <f aca="false">ROUND($C17*$N$6,0)</f>
        <v>1122025</v>
      </c>
      <c r="H17" s="26" t="s">
        <v>111</v>
      </c>
    </row>
    <row r="18" customFormat="false" ht="15" hidden="false" customHeight="true" outlineLevel="0" collapsed="false">
      <c r="B18" s="23" t="s">
        <v>78</v>
      </c>
      <c r="C18" s="25" t="n">
        <f aca="false">IFERROR(INDEX(1_Generation_Inventory!$J$6:$J$41,MATCH(B18,1_Generation_Inventory!$B$6:$B$41,0)),"")</f>
        <v>1412813</v>
      </c>
      <c r="D18" s="24" t="n">
        <f aca="false">ROUND($C18*$N$6,0)</f>
        <v>999000</v>
      </c>
      <c r="E18" s="38"/>
      <c r="F18" s="24" t="n">
        <f aca="false">ROUND($C18*$N$7,0)</f>
        <v>988969</v>
      </c>
      <c r="G18" s="24" t="n">
        <f aca="false">ROUND($C18*$N$6,0)</f>
        <v>999000</v>
      </c>
      <c r="H18" s="26" t="s">
        <v>111</v>
      </c>
    </row>
    <row r="19" customFormat="false" ht="15" hidden="false" customHeight="true" outlineLevel="0" collapsed="false">
      <c r="B19" s="23" t="s">
        <v>79</v>
      </c>
      <c r="C19" s="25" t="n">
        <f aca="false">IFERROR(INDEX(1_Generation_Inventory!$J$6:$J$41,MATCH(B19,1_Generation_Inventory!$B$6:$B$41,0)),"")</f>
        <v>5075900</v>
      </c>
      <c r="D19" s="24" t="n">
        <f aca="false">ROUND($C19*$N$6,0)</f>
        <v>3589169</v>
      </c>
      <c r="E19" s="38"/>
      <c r="F19" s="24" t="n">
        <f aca="false">ROUND($C19*$N$7,0)</f>
        <v>3553130</v>
      </c>
      <c r="G19" s="24" t="n">
        <f aca="false">ROUND($C19*$N$6,0)</f>
        <v>3589169</v>
      </c>
      <c r="H19" s="26" t="s">
        <v>111</v>
      </c>
    </row>
    <row r="20" customFormat="false" ht="15" hidden="false" customHeight="true" outlineLevel="0" collapsed="false">
      <c r="B20" s="23" t="s">
        <v>80</v>
      </c>
      <c r="C20" s="25" t="n">
        <f aca="false">IFERROR(INDEX(1_Generation_Inventory!$J$6:$J$41,MATCH(B20,1_Generation_Inventory!$B$6:$B$41,0)),"")</f>
        <v>2350856</v>
      </c>
      <c r="D20" s="24" t="n">
        <f aca="false">ROUND($C20*$N$6,0)</f>
        <v>1662290</v>
      </c>
      <c r="E20" s="38"/>
      <c r="F20" s="24" t="n">
        <f aca="false">ROUND($C20*$N$7,0)</f>
        <v>1645599</v>
      </c>
      <c r="G20" s="24" t="n">
        <f aca="false">ROUND($C20*$N$6,0)</f>
        <v>1662290</v>
      </c>
      <c r="H20" s="26" t="s">
        <v>111</v>
      </c>
    </row>
    <row r="21" customFormat="false" ht="15" hidden="false" customHeight="true" outlineLevel="0" collapsed="false">
      <c r="B21" s="23" t="s">
        <v>81</v>
      </c>
      <c r="C21" s="25" t="n">
        <f aca="false">IFERROR(INDEX(1_Generation_Inventory!$J$6:$J$41,MATCH(B21,1_Generation_Inventory!$B$6:$B$41,0)),"")</f>
        <v>4651201</v>
      </c>
      <c r="D21" s="24" t="n">
        <f aca="false">ROUND($C21*$N$6,0)</f>
        <v>3288864</v>
      </c>
      <c r="E21" s="38"/>
      <c r="F21" s="24" t="n">
        <f aca="false">ROUND($C21*$N$7,0)</f>
        <v>3255841</v>
      </c>
      <c r="G21" s="24" t="n">
        <f aca="false">ROUND($C21*$N$6,0)</f>
        <v>3288864</v>
      </c>
      <c r="H21" s="26" t="s">
        <v>111</v>
      </c>
    </row>
    <row r="22" customFormat="false" ht="15" hidden="false" customHeight="true" outlineLevel="0" collapsed="false">
      <c r="B22" s="23" t="s">
        <v>82</v>
      </c>
      <c r="C22" s="25" t="n">
        <f aca="false">IFERROR(INDEX(1_Generation_Inventory!$J$6:$J$41,MATCH(B22,1_Generation_Inventory!$B$6:$B$41,0)),"")</f>
        <v>2945035</v>
      </c>
      <c r="D22" s="24" t="n">
        <f aca="false">ROUND($C22*$N$6,0)</f>
        <v>2082434</v>
      </c>
      <c r="E22" s="38"/>
      <c r="F22" s="24" t="n">
        <f aca="false">ROUND($C22*$N$7,0)</f>
        <v>2061524</v>
      </c>
      <c r="G22" s="24" t="n">
        <f aca="false">ROUND($C22*$N$6,0)</f>
        <v>2082434</v>
      </c>
      <c r="H22" s="26" t="s">
        <v>111</v>
      </c>
    </row>
    <row r="23" customFormat="false" ht="15" hidden="false" customHeight="true" outlineLevel="0" collapsed="false">
      <c r="B23" s="23" t="s">
        <v>83</v>
      </c>
      <c r="C23" s="25" t="n">
        <f aca="false">IFERROR(INDEX(1_Generation_Inventory!$J$6:$J$41,MATCH(B23,1_Generation_Inventory!$B$6:$B$41,0)),"")</f>
        <v>3702494</v>
      </c>
      <c r="D23" s="24" t="n">
        <f aca="false">ROUND($C23*$N$6,0)</f>
        <v>2618034</v>
      </c>
      <c r="E23" s="38"/>
      <c r="F23" s="24" t="n">
        <f aca="false">ROUND($C23*$N$7,0)</f>
        <v>2591746</v>
      </c>
      <c r="G23" s="24" t="n">
        <f aca="false">ROUND($C23*$N$6,0)</f>
        <v>2618034</v>
      </c>
      <c r="H23" s="26" t="s">
        <v>111</v>
      </c>
    </row>
    <row r="24" customFormat="false" ht="15" hidden="false" customHeight="true" outlineLevel="0" collapsed="false">
      <c r="B24" s="23" t="s">
        <v>84</v>
      </c>
      <c r="C24" s="25" t="n">
        <f aca="false">IFERROR(INDEX(1_Generation_Inventory!$J$6:$J$41,MATCH(B24,1_Generation_Inventory!$B$6:$B$41,0)),"")</f>
        <v>11228355</v>
      </c>
      <c r="D24" s="24" t="n">
        <f aca="false">ROUND($C24*$N$6,0)</f>
        <v>7939570</v>
      </c>
      <c r="E24" s="38"/>
      <c r="F24" s="24" t="n">
        <f aca="false">ROUND($C24*$N$7,0)</f>
        <v>7859848</v>
      </c>
      <c r="G24" s="24" t="n">
        <f aca="false">ROUND($C24*$N$6,0)</f>
        <v>7939570</v>
      </c>
      <c r="H24" s="26" t="s">
        <v>111</v>
      </c>
    </row>
    <row r="25" customFormat="false" ht="15" hidden="false" customHeight="true" outlineLevel="0" collapsed="false">
      <c r="B25" s="23" t="s">
        <v>85</v>
      </c>
      <c r="C25" s="25" t="n">
        <f aca="false">IFERROR(INDEX(1_Generation_Inventory!$J$6:$J$41,MATCH(B25,1_Generation_Inventory!$B$6:$B$41,0)),"")</f>
        <v>5584285</v>
      </c>
      <c r="D25" s="24" t="n">
        <f aca="false">ROUND($C25*$N$6,0)</f>
        <v>3948648</v>
      </c>
      <c r="E25" s="38"/>
      <c r="F25" s="24" t="n">
        <f aca="false">ROUND($C25*$N$7,0)</f>
        <v>3908999</v>
      </c>
      <c r="G25" s="24" t="n">
        <f aca="false">ROUND($C25*$N$6,0)</f>
        <v>3948648</v>
      </c>
      <c r="H25" s="26" t="s">
        <v>111</v>
      </c>
    </row>
    <row r="26" customFormat="false" ht="15" hidden="false" customHeight="true" outlineLevel="0" collapsed="false">
      <c r="B26" s="32" t="s">
        <v>86</v>
      </c>
      <c r="C26" s="34" t="n">
        <f aca="false">IFERROR(INDEX(1_Generation_Inventory!$J$6:$J$41,MATCH(B26,1_Generation_Inventory!$B$6:$B$41,0)),"")</f>
        <v>4033551</v>
      </c>
      <c r="D26" s="33" t="n">
        <f aca="false">ROUND($C26*$N$6,0)</f>
        <v>2852124</v>
      </c>
      <c r="E26" s="40"/>
      <c r="F26" s="33" t="n">
        <f aca="false">ROUND($C26*$N$7,0)</f>
        <v>2823486</v>
      </c>
      <c r="G26" s="33" t="n">
        <f aca="false">ROUND($C26*$N$6,0)</f>
        <v>2852124</v>
      </c>
      <c r="H26" s="35" t="s">
        <v>111</v>
      </c>
    </row>
    <row r="27" customFormat="false" ht="15" hidden="false" customHeight="true" outlineLevel="0" collapsed="false">
      <c r="B27" s="32" t="s">
        <v>87</v>
      </c>
      <c r="C27" s="34" t="n">
        <f aca="false">IFERROR(INDEX(1_Generation_Inventory!$J$6:$J$41,MATCH(B27,1_Generation_Inventory!$B$6:$B$41,0)),"")</f>
        <v>1977954</v>
      </c>
      <c r="D27" s="33" t="n">
        <f aca="false">ROUND($C27*$N$6,0)</f>
        <v>1398611</v>
      </c>
      <c r="E27" s="40"/>
      <c r="F27" s="33" t="n">
        <f aca="false">ROUND($C27*$N$7,0)</f>
        <v>1384568</v>
      </c>
      <c r="G27" s="33" t="n">
        <f aca="false">ROUND($C27*$N$6,0)</f>
        <v>1398611</v>
      </c>
      <c r="H27" s="35" t="s">
        <v>111</v>
      </c>
    </row>
    <row r="28" customFormat="false" ht="15" hidden="false" customHeight="true" outlineLevel="0" collapsed="false">
      <c r="B28" s="32" t="s">
        <v>88</v>
      </c>
      <c r="C28" s="34" t="n">
        <f aca="false">IFERROR(INDEX(1_Generation_Inventory!$J$6:$J$41,MATCH(B28,1_Generation_Inventory!$B$6:$B$41,0)),"")</f>
        <v>7328624</v>
      </c>
      <c r="D28" s="33" t="n">
        <f aca="false">ROUND($C28*$N$6,0)</f>
        <v>5182070</v>
      </c>
      <c r="E28" s="40"/>
      <c r="F28" s="33" t="n">
        <f aca="false">ROUND($C28*$N$7,0)</f>
        <v>5130037</v>
      </c>
      <c r="G28" s="33" t="n">
        <f aca="false">ROUND($C28*$N$6,0)</f>
        <v>5182070</v>
      </c>
      <c r="H28" s="35" t="s">
        <v>111</v>
      </c>
    </row>
    <row r="29" customFormat="false" ht="15" hidden="false" customHeight="true" outlineLevel="0" collapsed="false">
      <c r="B29" s="32" t="s">
        <v>89</v>
      </c>
      <c r="C29" s="34" t="n">
        <f aca="false">IFERROR(INDEX(1_Generation_Inventory!$J$6:$J$41,MATCH(B29,1_Generation_Inventory!$B$6:$B$41,0)),"")</f>
        <v>3588140</v>
      </c>
      <c r="D29" s="33" t="n">
        <f aca="false">ROUND($C29*$N$6,0)</f>
        <v>2537174</v>
      </c>
      <c r="E29" s="40"/>
      <c r="F29" s="33" t="n">
        <f aca="false">ROUND($C29*$N$7,0)</f>
        <v>2511698</v>
      </c>
      <c r="G29" s="33" t="n">
        <f aca="false">ROUND($C29*$N$6,0)</f>
        <v>2537174</v>
      </c>
      <c r="H29" s="35" t="s">
        <v>111</v>
      </c>
    </row>
    <row r="30" customFormat="false" ht="15" hidden="false" customHeight="true" outlineLevel="0" collapsed="false">
      <c r="B30" s="32" t="s">
        <v>90</v>
      </c>
      <c r="C30" s="34" t="n">
        <f aca="false">IFERROR(INDEX(1_Generation_Inventory!$J$6:$J$41,MATCH(B30,1_Generation_Inventory!$B$6:$B$41,0)),"")</f>
        <v>2203178</v>
      </c>
      <c r="D30" s="33" t="n">
        <f aca="false">ROUND($C30*$N$6,0)</f>
        <v>1557867</v>
      </c>
      <c r="E30" s="40"/>
      <c r="F30" s="33" t="n">
        <f aca="false">ROUND($C30*$N$7,0)</f>
        <v>1542225</v>
      </c>
      <c r="G30" s="33" t="n">
        <f aca="false">ROUND($C30*$N$6,0)</f>
        <v>1557867</v>
      </c>
      <c r="H30" s="35" t="s">
        <v>111</v>
      </c>
    </row>
    <row r="31" customFormat="false" ht="15" hidden="false" customHeight="true" outlineLevel="0" collapsed="false">
      <c r="B31" s="32" t="s">
        <v>91</v>
      </c>
      <c r="C31" s="34" t="n">
        <f aca="false">IFERROR(INDEX(1_Generation_Inventory!$J$6:$J$41,MATCH(B31,1_Generation_Inventory!$B$6:$B$41,0)),"")</f>
        <v>11315290</v>
      </c>
      <c r="D31" s="33" t="n">
        <f aca="false">ROUND($C31*$N$6,0)</f>
        <v>8001042</v>
      </c>
      <c r="E31" s="40"/>
      <c r="F31" s="33" t="n">
        <f aca="false">ROUND($C31*$N$7,0)</f>
        <v>7920703</v>
      </c>
      <c r="G31" s="33" t="n">
        <f aca="false">ROUND($C31*$N$6,0)</f>
        <v>8001042</v>
      </c>
      <c r="H31" s="35" t="s">
        <v>111</v>
      </c>
    </row>
    <row r="32" customFormat="false" ht="15" hidden="false" customHeight="true" outlineLevel="0" collapsed="false">
      <c r="B32" s="32" t="s">
        <v>92</v>
      </c>
      <c r="C32" s="34" t="n">
        <f aca="false">IFERROR(INDEX(1_Generation_Inventory!$J$6:$J$41,MATCH(B32,1_Generation_Inventory!$B$6:$B$41,0)),"")</f>
        <v>3161040</v>
      </c>
      <c r="D32" s="33" t="n">
        <f aca="false">ROUND($C32*$N$6,0)</f>
        <v>2235171</v>
      </c>
      <c r="E32" s="40"/>
      <c r="F32" s="33" t="n">
        <f aca="false">ROUND($C32*$N$7,0)</f>
        <v>2212728</v>
      </c>
      <c r="G32" s="33" t="n">
        <f aca="false">ROUND($C32*$N$6,0)</f>
        <v>2235171</v>
      </c>
      <c r="H32" s="35" t="s">
        <v>111</v>
      </c>
    </row>
    <row r="33" customFormat="false" ht="15" hidden="false" customHeight="true" outlineLevel="0" collapsed="false">
      <c r="B33" s="32" t="s">
        <v>93</v>
      </c>
      <c r="C33" s="34" t="n">
        <f aca="false">IFERROR(INDEX(1_Generation_Inventory!$J$6:$J$41,MATCH(B33,1_Generation_Inventory!$B$6:$B$41,0)),"")</f>
        <v>1938082</v>
      </c>
      <c r="D33" s="33" t="n">
        <f aca="false">ROUND($C33*$N$6,0)</f>
        <v>1370418</v>
      </c>
      <c r="E33" s="40"/>
      <c r="F33" s="33" t="n">
        <f aca="false">ROUND($C33*$N$7,0)</f>
        <v>1356657</v>
      </c>
      <c r="G33" s="33" t="n">
        <f aca="false">ROUND($C33*$N$6,0)</f>
        <v>1370418</v>
      </c>
      <c r="H33" s="35" t="s">
        <v>111</v>
      </c>
    </row>
    <row r="34" customFormat="false" ht="15" hidden="false" customHeight="true" outlineLevel="0" collapsed="false">
      <c r="B34" s="32" t="s">
        <v>94</v>
      </c>
      <c r="C34" s="34" t="n">
        <f aca="false">IFERROR(INDEX(1_Generation_Inventory!$J$6:$J$41,MATCH(B34,1_Generation_Inventory!$B$6:$B$41,0)),"")</f>
        <v>3386572</v>
      </c>
      <c r="D34" s="33" t="n">
        <f aca="false">ROUND($C34*$N$6,0)</f>
        <v>2394645</v>
      </c>
      <c r="E34" s="40"/>
      <c r="F34" s="33" t="n">
        <f aca="false">ROUND($C34*$N$7,0)</f>
        <v>2370600</v>
      </c>
      <c r="G34" s="33" t="n">
        <f aca="false">ROUND($C34*$N$6,0)</f>
        <v>2394645</v>
      </c>
      <c r="H34" s="35" t="s">
        <v>111</v>
      </c>
    </row>
    <row r="35" customFormat="false" ht="15" hidden="false" customHeight="true" outlineLevel="0" collapsed="false">
      <c r="B35" s="32" t="s">
        <v>95</v>
      </c>
      <c r="C35" s="34" t="n">
        <f aca="false">IFERROR(INDEX(1_Generation_Inventory!$J$6:$J$41,MATCH(B35,1_Generation_Inventory!$B$6:$B$41,0)),"")</f>
        <v>3604490</v>
      </c>
      <c r="D35" s="33" t="n">
        <f aca="false">ROUND($C35*$N$6,0)</f>
        <v>2548735</v>
      </c>
      <c r="E35" s="40"/>
      <c r="F35" s="33" t="n">
        <f aca="false">ROUND($C35*$N$7,0)</f>
        <v>2523143</v>
      </c>
      <c r="G35" s="33" t="n">
        <f aca="false">ROUND($C35*$N$6,0)</f>
        <v>2548735</v>
      </c>
      <c r="H35" s="35" t="s">
        <v>111</v>
      </c>
    </row>
    <row r="36" customFormat="false" ht="15" hidden="false" customHeight="true" outlineLevel="0" collapsed="false">
      <c r="B36" s="32" t="s">
        <v>96</v>
      </c>
      <c r="C36" s="34" t="n">
        <f aca="false">IFERROR(INDEX(1_Generation_Inventory!$J$6:$J$41,MATCH(B36,1_Generation_Inventory!$B$6:$B$41,0)),"")</f>
        <v>1019581</v>
      </c>
      <c r="D36" s="33" t="n">
        <f aca="false">ROUND($C36*$N$6,0)</f>
        <v>720946</v>
      </c>
      <c r="E36" s="40"/>
      <c r="F36" s="33" t="n">
        <f aca="false">ROUND($C36*$N$7,0)</f>
        <v>713707</v>
      </c>
      <c r="G36" s="33" t="n">
        <f aca="false">ROUND($C36*$N$6,0)</f>
        <v>720946</v>
      </c>
      <c r="H36" s="35" t="s">
        <v>111</v>
      </c>
    </row>
    <row r="37" customFormat="false" ht="15" hidden="false" customHeight="true" outlineLevel="0" collapsed="false">
      <c r="B37" s="32" t="s">
        <v>97</v>
      </c>
      <c r="C37" s="34" t="n">
        <f aca="false">IFERROR(INDEX(1_Generation_Inventory!$J$6:$J$41,MATCH(B37,1_Generation_Inventory!$B$6:$B$41,0)),"")</f>
        <v>5181306</v>
      </c>
      <c r="D37" s="33" t="n">
        <f aca="false">ROUND($C37*$N$6,0)</f>
        <v>3663701</v>
      </c>
      <c r="E37" s="40"/>
      <c r="F37" s="33" t="n">
        <f aca="false">ROUND($C37*$N$7,0)</f>
        <v>3626914</v>
      </c>
      <c r="G37" s="33" t="n">
        <f aca="false">ROUND($C37*$N$6,0)</f>
        <v>3663701</v>
      </c>
      <c r="H37" s="35" t="s">
        <v>111</v>
      </c>
    </row>
    <row r="38" customFormat="false" ht="15" hidden="false" customHeight="true" outlineLevel="0" collapsed="false">
      <c r="B38" s="32" t="s">
        <v>98</v>
      </c>
      <c r="C38" s="34" t="n">
        <f aca="false">IFERROR(INDEX(1_Generation_Inventory!$J$6:$J$41,MATCH(B38,1_Generation_Inventory!$B$6:$B$41,0)),"")</f>
        <v>9684039</v>
      </c>
      <c r="D38" s="33" t="n">
        <f aca="false">ROUND($C38*$N$6,0)</f>
        <v>6847584</v>
      </c>
      <c r="E38" s="40"/>
      <c r="F38" s="33" t="n">
        <f aca="false">ROUND($C38*$N$7,0)</f>
        <v>6778827</v>
      </c>
      <c r="G38" s="33" t="n">
        <f aca="false">ROUND($C38*$N$6,0)</f>
        <v>6847584</v>
      </c>
      <c r="H38" s="35" t="s">
        <v>111</v>
      </c>
    </row>
    <row r="39" customFormat="false" ht="15" hidden="false" customHeight="true" outlineLevel="0" collapsed="false">
      <c r="B39" s="32" t="s">
        <v>99</v>
      </c>
      <c r="C39" s="34" t="n">
        <f aca="false">IFERROR(INDEX(1_Generation_Inventory!$J$6:$J$41,MATCH(B39,1_Generation_Inventory!$B$6:$B$41,0)),"")</f>
        <v>1555389</v>
      </c>
      <c r="D39" s="33" t="n">
        <f aca="false">ROUND($C39*$N$6,0)</f>
        <v>1099816</v>
      </c>
      <c r="E39" s="40"/>
      <c r="F39" s="33" t="n">
        <f aca="false">ROUND($C39*$N$7,0)</f>
        <v>1088772</v>
      </c>
      <c r="G39" s="33" t="n">
        <f aca="false">ROUND($C39*$N$6,0)</f>
        <v>1099816</v>
      </c>
      <c r="H39" s="35" t="s">
        <v>111</v>
      </c>
    </row>
    <row r="40" customFormat="false" ht="15" hidden="false" customHeight="true" outlineLevel="0" collapsed="false">
      <c r="B40" s="32" t="s">
        <v>100</v>
      </c>
      <c r="C40" s="34" t="n">
        <f aca="false">IFERROR(INDEX(1_Generation_Inventory!$J$6:$J$41,MATCH(B40,1_Generation_Inventory!$B$6:$B$41,0)),"")</f>
        <v>1436592</v>
      </c>
      <c r="D40" s="33" t="n">
        <f aca="false">ROUND($C40*$N$6,0)</f>
        <v>1015814</v>
      </c>
      <c r="E40" s="40"/>
      <c r="F40" s="33" t="n">
        <f aca="false">ROUND($C40*$N$7,0)</f>
        <v>1005614</v>
      </c>
      <c r="G40" s="33" t="n">
        <f aca="false">ROUND($C40*$N$6,0)</f>
        <v>1015814</v>
      </c>
      <c r="H40" s="35" t="s">
        <v>111</v>
      </c>
    </row>
    <row r="41" customFormat="false" ht="15" hidden="false" customHeight="true" outlineLevel="0" collapsed="false">
      <c r="B41" s="32" t="s">
        <v>101</v>
      </c>
      <c r="C41" s="34" t="n">
        <f aca="false">IFERROR(INDEX(1_Generation_Inventory!$J$6:$J$41,MATCH(B41,1_Generation_Inventory!$B$6:$B$41,0)),"")</f>
        <v>3326818</v>
      </c>
      <c r="D41" s="33" t="n">
        <f aca="false">ROUND($C41*$N$6,0)</f>
        <v>2352393</v>
      </c>
      <c r="E41" s="40"/>
      <c r="F41" s="33" t="n">
        <f aca="false">ROUND($C41*$N$7,0)</f>
        <v>2328773</v>
      </c>
      <c r="G41" s="33" t="n">
        <f aca="false">ROUND($C41*$N$6,0)</f>
        <v>2352393</v>
      </c>
      <c r="H41" s="35" t="s">
        <v>111</v>
      </c>
    </row>
    <row r="43" customFormat="false" ht="15" hidden="false" customHeight="true" outlineLevel="0" collapsed="false">
      <c r="B43" s="36" t="s">
        <v>102</v>
      </c>
      <c r="C43" s="37" t="n">
        <f aca="false">SUM(C6:C41)</f>
        <v>134843329</v>
      </c>
      <c r="D43" s="37" t="n">
        <f aca="false">SUM(D6:D41)</f>
        <v>95347719</v>
      </c>
      <c r="E43" s="37" t="n">
        <f aca="false">SUM(E6:E41)</f>
        <v>0</v>
      </c>
      <c r="F43" s="37" t="n">
        <f aca="false">SUM(F6:F41)</f>
        <v>94390329</v>
      </c>
      <c r="G43" s="37" t="n">
        <f aca="false">SUM(G6:G41)</f>
        <v>95347719</v>
      </c>
    </row>
  </sheetData>
  <mergeCells count="3">
    <mergeCell ref="A2:G2"/>
    <mergeCell ref="B3:H3"/>
    <mergeCell ref="M5:N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8" min="7" style="1" width="18"/>
  </cols>
  <sheetData>
    <row r="2" customFormat="false" ht="25.5" hidden="false" customHeight="true" outlineLevel="0" collapsed="false">
      <c r="A2" s="2" t="s">
        <v>114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B3" s="41" t="s">
        <v>115</v>
      </c>
      <c r="C3" s="41"/>
      <c r="D3" s="41"/>
      <c r="E3" s="41"/>
      <c r="F3" s="41"/>
      <c r="G3" s="41"/>
      <c r="H3" s="41"/>
    </row>
    <row r="5" customFormat="false" ht="31.5" hidden="false" customHeight="true" outlineLevel="0" collapsed="false">
      <c r="B5" s="7" t="s">
        <v>116</v>
      </c>
      <c r="C5" s="7" t="s">
        <v>117</v>
      </c>
      <c r="D5" s="7" t="s">
        <v>46</v>
      </c>
      <c r="E5" s="7" t="s">
        <v>118</v>
      </c>
      <c r="F5" s="7" t="s">
        <v>119</v>
      </c>
      <c r="G5" s="7" t="s">
        <v>120</v>
      </c>
      <c r="H5" s="7" t="s">
        <v>121</v>
      </c>
    </row>
    <row r="6" customFormat="false" ht="23.25" hidden="false" customHeight="true" outlineLevel="0" collapsed="false">
      <c r="B6" s="42" t="s">
        <v>122</v>
      </c>
      <c r="C6" s="42" t="s">
        <v>123</v>
      </c>
      <c r="D6" s="23" t="s">
        <v>57</v>
      </c>
      <c r="E6" s="43" t="n">
        <v>1359000</v>
      </c>
      <c r="F6" s="43" t="n">
        <v>619249</v>
      </c>
      <c r="G6" s="44" t="n">
        <v>0.89</v>
      </c>
      <c r="H6" s="42" t="s">
        <v>124</v>
      </c>
    </row>
    <row r="7" customFormat="false" ht="15" hidden="false" customHeight="true" outlineLevel="0" collapsed="false">
      <c r="B7" s="42" t="s">
        <v>125</v>
      </c>
      <c r="C7" s="42" t="s">
        <v>126</v>
      </c>
      <c r="D7" s="23" t="s">
        <v>60</v>
      </c>
      <c r="E7" s="43" t="n">
        <v>551000</v>
      </c>
      <c r="F7" s="43" t="n">
        <v>281894</v>
      </c>
      <c r="G7" s="44" t="n">
        <v>0.88</v>
      </c>
      <c r="H7" s="42" t="s">
        <v>124</v>
      </c>
    </row>
    <row r="8" customFormat="false" ht="15" hidden="false" customHeight="true" outlineLevel="0" collapsed="false">
      <c r="B8" s="42" t="s">
        <v>127</v>
      </c>
      <c r="C8" s="42" t="s">
        <v>128</v>
      </c>
      <c r="D8" s="23" t="s">
        <v>62</v>
      </c>
      <c r="E8" s="43" t="n">
        <v>1435000</v>
      </c>
      <c r="F8" s="43" t="n">
        <v>1105429</v>
      </c>
      <c r="G8" s="44" t="n">
        <v>0.84</v>
      </c>
      <c r="H8" s="42" t="s">
        <v>124</v>
      </c>
    </row>
    <row r="9" customFormat="false" ht="15" hidden="false" customHeight="true" outlineLevel="0" collapsed="false">
      <c r="B9" s="42" t="s">
        <v>129</v>
      </c>
      <c r="C9" s="42" t="s">
        <v>130</v>
      </c>
      <c r="D9" s="23" t="s">
        <v>64</v>
      </c>
      <c r="E9" s="43" t="n">
        <v>1259000</v>
      </c>
      <c r="F9" s="43" t="n">
        <v>769199</v>
      </c>
      <c r="G9" s="44" t="n">
        <v>0.71</v>
      </c>
      <c r="H9" s="42" t="s">
        <v>124</v>
      </c>
    </row>
    <row r="10" customFormat="false" ht="15" hidden="false" customHeight="true" outlineLevel="0" collapsed="false">
      <c r="B10" s="42" t="s">
        <v>131</v>
      </c>
      <c r="C10" s="42" t="s">
        <v>132</v>
      </c>
      <c r="D10" s="23" t="s">
        <v>66</v>
      </c>
      <c r="E10" s="43" t="n">
        <v>497000</v>
      </c>
      <c r="F10" s="43" t="n">
        <v>256616</v>
      </c>
      <c r="G10" s="44" t="n">
        <v>0.85</v>
      </c>
      <c r="H10" s="42" t="s">
        <v>124</v>
      </c>
    </row>
    <row r="11" customFormat="false" ht="15" hidden="false" customHeight="true" outlineLevel="0" collapsed="false">
      <c r="B11" s="42" t="s">
        <v>133</v>
      </c>
      <c r="C11" s="42" t="s">
        <v>134</v>
      </c>
      <c r="D11" s="23" t="s">
        <v>68</v>
      </c>
      <c r="E11" s="43" t="n">
        <v>1199000</v>
      </c>
      <c r="F11" s="43" t="n">
        <v>598803</v>
      </c>
      <c r="G11" s="44" t="n">
        <v>0.86</v>
      </c>
      <c r="H11" s="42" t="s">
        <v>124</v>
      </c>
    </row>
    <row r="12" customFormat="false" ht="15" hidden="false" customHeight="true" outlineLevel="0" collapsed="false">
      <c r="B12" s="42" t="s">
        <v>135</v>
      </c>
      <c r="C12" s="42" t="s">
        <v>136</v>
      </c>
      <c r="D12" s="23" t="s">
        <v>70</v>
      </c>
      <c r="E12" s="43" t="n">
        <v>1166000</v>
      </c>
      <c r="F12" s="43" t="n">
        <v>710980</v>
      </c>
      <c r="G12" s="44" t="n">
        <v>0.81</v>
      </c>
      <c r="H12" s="42" t="s">
        <v>124</v>
      </c>
    </row>
    <row r="13" customFormat="false" ht="15" hidden="false" customHeight="true" outlineLevel="0" collapsed="false">
      <c r="B13" s="42" t="s">
        <v>137</v>
      </c>
      <c r="C13" s="42" t="s">
        <v>138</v>
      </c>
      <c r="D13" s="23" t="s">
        <v>72</v>
      </c>
      <c r="E13" s="43" t="n">
        <v>619000</v>
      </c>
      <c r="F13" s="43" t="n">
        <v>498118</v>
      </c>
      <c r="G13" s="44" t="n">
        <v>0.7</v>
      </c>
      <c r="H13" s="42" t="s">
        <v>124</v>
      </c>
    </row>
    <row r="14" customFormat="false" ht="15" hidden="false" customHeight="true" outlineLevel="0" collapsed="false">
      <c r="B14" s="42" t="s">
        <v>139</v>
      </c>
      <c r="C14" s="42" t="s">
        <v>140</v>
      </c>
      <c r="D14" s="23" t="s">
        <v>74</v>
      </c>
      <c r="E14" s="43" t="n">
        <v>1700000</v>
      </c>
      <c r="F14" s="43" t="n">
        <v>815710</v>
      </c>
      <c r="G14" s="44" t="n">
        <v>0.81</v>
      </c>
      <c r="H14" s="42" t="s">
        <v>124</v>
      </c>
    </row>
    <row r="15" customFormat="false" ht="15" hidden="false" customHeight="true" outlineLevel="0" collapsed="false">
      <c r="B15" s="42" t="s">
        <v>141</v>
      </c>
      <c r="C15" s="42" t="s">
        <v>142</v>
      </c>
      <c r="D15" s="23" t="s">
        <v>75</v>
      </c>
      <c r="E15" s="43" t="n">
        <v>619000</v>
      </c>
      <c r="F15" s="43" t="n">
        <v>295720</v>
      </c>
      <c r="G15" s="44" t="n">
        <v>0.94</v>
      </c>
      <c r="H15" s="42" t="s">
        <v>124</v>
      </c>
    </row>
    <row r="16" customFormat="false" ht="15" hidden="false" customHeight="true" outlineLevel="0" collapsed="false">
      <c r="B16" s="42" t="s">
        <v>143</v>
      </c>
      <c r="C16" s="42" t="s">
        <v>144</v>
      </c>
      <c r="D16" s="23" t="s">
        <v>76</v>
      </c>
      <c r="E16" s="43" t="n">
        <v>739000</v>
      </c>
      <c r="F16" s="43" t="n">
        <v>333366</v>
      </c>
      <c r="G16" s="44" t="n">
        <v>0.79</v>
      </c>
      <c r="H16" s="42" t="s">
        <v>124</v>
      </c>
    </row>
    <row r="17" customFormat="false" ht="15" hidden="false" customHeight="true" outlineLevel="0" collapsed="false">
      <c r="B17" s="42" t="s">
        <v>145</v>
      </c>
      <c r="C17" s="42" t="s">
        <v>146</v>
      </c>
      <c r="D17" s="23" t="s">
        <v>77</v>
      </c>
      <c r="E17" s="43" t="n">
        <v>785000</v>
      </c>
      <c r="F17" s="43" t="n">
        <v>646641</v>
      </c>
      <c r="G17" s="44" t="n">
        <v>0.85</v>
      </c>
      <c r="H17" s="42" t="s">
        <v>124</v>
      </c>
    </row>
    <row r="18" customFormat="false" ht="15" hidden="false" customHeight="true" outlineLevel="0" collapsed="false">
      <c r="B18" s="42" t="s">
        <v>147</v>
      </c>
      <c r="C18" s="42" t="s">
        <v>148</v>
      </c>
      <c r="D18" s="23" t="s">
        <v>78</v>
      </c>
      <c r="E18" s="43" t="n">
        <v>1702000</v>
      </c>
      <c r="F18" s="43" t="n">
        <v>717776</v>
      </c>
      <c r="G18" s="44" t="n">
        <v>0.81</v>
      </c>
      <c r="H18" s="42" t="s">
        <v>124</v>
      </c>
    </row>
    <row r="19" customFormat="false" ht="15" hidden="false" customHeight="true" outlineLevel="0" collapsed="false">
      <c r="B19" s="42" t="s">
        <v>149</v>
      </c>
      <c r="C19" s="42" t="s">
        <v>150</v>
      </c>
      <c r="D19" s="23" t="s">
        <v>79</v>
      </c>
      <c r="E19" s="43" t="n">
        <v>305000</v>
      </c>
      <c r="F19" s="43" t="n">
        <v>270400</v>
      </c>
      <c r="G19" s="44" t="n">
        <v>0.79</v>
      </c>
      <c r="H19" s="42" t="s">
        <v>124</v>
      </c>
    </row>
    <row r="20" customFormat="false" ht="15" hidden="false" customHeight="true" outlineLevel="0" collapsed="false">
      <c r="B20" s="42" t="s">
        <v>151</v>
      </c>
      <c r="C20" s="42" t="s">
        <v>152</v>
      </c>
      <c r="D20" s="23" t="s">
        <v>80</v>
      </c>
      <c r="E20" s="43" t="n">
        <v>1180000</v>
      </c>
      <c r="F20" s="43" t="n">
        <v>644975</v>
      </c>
      <c r="G20" s="44" t="n">
        <v>0.86</v>
      </c>
      <c r="H20" s="42" t="s">
        <v>124</v>
      </c>
    </row>
    <row r="21" customFormat="false" ht="15" hidden="false" customHeight="true" outlineLevel="0" collapsed="false">
      <c r="B21" s="42" t="s">
        <v>153</v>
      </c>
      <c r="C21" s="42" t="s">
        <v>154</v>
      </c>
      <c r="D21" s="23" t="s">
        <v>81</v>
      </c>
      <c r="E21" s="43" t="n">
        <v>1863000</v>
      </c>
      <c r="F21" s="43" t="n">
        <v>1547879</v>
      </c>
      <c r="G21" s="44" t="n">
        <v>0.84</v>
      </c>
      <c r="H21" s="42" t="s">
        <v>124</v>
      </c>
    </row>
    <row r="22" customFormat="false" ht="15" hidden="false" customHeight="true" outlineLevel="0" collapsed="false">
      <c r="B22" s="42" t="s">
        <v>155</v>
      </c>
      <c r="C22" s="42" t="s">
        <v>156</v>
      </c>
      <c r="D22" s="23" t="s">
        <v>82</v>
      </c>
      <c r="E22" s="43" t="n">
        <v>1492000</v>
      </c>
      <c r="F22" s="43" t="n">
        <v>648688</v>
      </c>
      <c r="G22" s="44" t="n">
        <v>0.87</v>
      </c>
      <c r="H22" s="42" t="s">
        <v>124</v>
      </c>
    </row>
    <row r="23" customFormat="false" ht="15" hidden="false" customHeight="true" outlineLevel="0" collapsed="false">
      <c r="B23" s="42" t="s">
        <v>157</v>
      </c>
      <c r="C23" s="42" t="s">
        <v>158</v>
      </c>
      <c r="D23" s="23" t="s">
        <v>83</v>
      </c>
      <c r="E23" s="43" t="n">
        <v>1633000</v>
      </c>
      <c r="F23" s="43" t="n">
        <v>889485</v>
      </c>
      <c r="G23" s="44" t="n">
        <v>0.72</v>
      </c>
      <c r="H23" s="42" t="s">
        <v>124</v>
      </c>
    </row>
    <row r="24" customFormat="false" ht="15" hidden="false" customHeight="true" outlineLevel="0" collapsed="false">
      <c r="B24" s="42" t="s">
        <v>159</v>
      </c>
      <c r="C24" s="42" t="s">
        <v>160</v>
      </c>
      <c r="D24" s="23" t="s">
        <v>84</v>
      </c>
      <c r="E24" s="43" t="n">
        <v>526000</v>
      </c>
      <c r="F24" s="43" t="n">
        <v>438285</v>
      </c>
      <c r="G24" s="44" t="n">
        <v>0.8</v>
      </c>
      <c r="H24" s="42" t="s">
        <v>124</v>
      </c>
    </row>
    <row r="25" customFormat="false" ht="15" hidden="false" customHeight="true" outlineLevel="0" collapsed="false">
      <c r="B25" s="42" t="s">
        <v>161</v>
      </c>
      <c r="C25" s="42" t="s">
        <v>162</v>
      </c>
      <c r="D25" s="23" t="s">
        <v>85</v>
      </c>
      <c r="E25" s="43" t="n">
        <v>978000</v>
      </c>
      <c r="F25" s="43" t="n">
        <v>702049</v>
      </c>
      <c r="G25" s="44" t="n">
        <v>0.79</v>
      </c>
      <c r="H25" s="42" t="s">
        <v>124</v>
      </c>
    </row>
    <row r="26" customFormat="false" ht="15" hidden="false" customHeight="true" outlineLevel="0" collapsed="false">
      <c r="B26" s="42" t="s">
        <v>163</v>
      </c>
      <c r="C26" s="42" t="s">
        <v>164</v>
      </c>
      <c r="D26" s="23" t="s">
        <v>86</v>
      </c>
      <c r="E26" s="43" t="n">
        <v>808000</v>
      </c>
      <c r="F26" s="43" t="n">
        <v>466729</v>
      </c>
      <c r="G26" s="44" t="n">
        <v>0.87</v>
      </c>
      <c r="H26" s="42" t="s">
        <v>124</v>
      </c>
    </row>
    <row r="27" customFormat="false" ht="15" hidden="false" customHeight="true" outlineLevel="0" collapsed="false">
      <c r="B27" s="45" t="s">
        <v>165</v>
      </c>
      <c r="C27" s="45" t="s">
        <v>166</v>
      </c>
      <c r="D27" s="32" t="s">
        <v>87</v>
      </c>
      <c r="E27" s="46" t="n">
        <v>1487000</v>
      </c>
      <c r="F27" s="46" t="n">
        <v>1291202</v>
      </c>
      <c r="G27" s="47" t="n">
        <v>0.86</v>
      </c>
      <c r="H27" s="45" t="s">
        <v>124</v>
      </c>
    </row>
    <row r="28" customFormat="false" ht="15" hidden="false" customHeight="true" outlineLevel="0" collapsed="false">
      <c r="B28" s="45" t="s">
        <v>167</v>
      </c>
      <c r="C28" s="45" t="s">
        <v>168</v>
      </c>
      <c r="D28" s="32" t="s">
        <v>88</v>
      </c>
      <c r="E28" s="46" t="n">
        <v>1297000</v>
      </c>
      <c r="F28" s="46" t="n">
        <v>930583</v>
      </c>
      <c r="G28" s="47" t="n">
        <v>0.83</v>
      </c>
      <c r="H28" s="45" t="s">
        <v>124</v>
      </c>
    </row>
    <row r="29" customFormat="false" ht="15" hidden="false" customHeight="true" outlineLevel="0" collapsed="false">
      <c r="B29" s="45" t="s">
        <v>169</v>
      </c>
      <c r="C29" s="45" t="s">
        <v>170</v>
      </c>
      <c r="D29" s="32" t="s">
        <v>89</v>
      </c>
      <c r="E29" s="46" t="n">
        <v>551000</v>
      </c>
      <c r="F29" s="46" t="n">
        <v>265417</v>
      </c>
      <c r="G29" s="47" t="n">
        <v>0.79</v>
      </c>
      <c r="H29" s="45" t="s">
        <v>124</v>
      </c>
    </row>
    <row r="30" customFormat="false" ht="15" hidden="false" customHeight="true" outlineLevel="0" collapsed="false">
      <c r="B30" s="45" t="s">
        <v>171</v>
      </c>
      <c r="C30" s="45" t="s">
        <v>172</v>
      </c>
      <c r="D30" s="32" t="s">
        <v>90</v>
      </c>
      <c r="E30" s="46" t="n">
        <v>1945000</v>
      </c>
      <c r="F30" s="46" t="n">
        <v>1400399</v>
      </c>
      <c r="G30" s="47" t="n">
        <v>0.84</v>
      </c>
      <c r="H30" s="45" t="s">
        <v>124</v>
      </c>
    </row>
    <row r="31" customFormat="false" ht="15" hidden="false" customHeight="true" outlineLevel="0" collapsed="false">
      <c r="B31" s="45" t="s">
        <v>173</v>
      </c>
      <c r="C31" s="45" t="s">
        <v>174</v>
      </c>
      <c r="D31" s="32" t="s">
        <v>91</v>
      </c>
      <c r="E31" s="46" t="n">
        <v>1452000</v>
      </c>
      <c r="F31" s="46" t="n">
        <v>816229</v>
      </c>
      <c r="G31" s="47" t="n">
        <v>0.89</v>
      </c>
      <c r="H31" s="45" t="s">
        <v>124</v>
      </c>
    </row>
    <row r="32" customFormat="false" ht="15" hidden="false" customHeight="true" outlineLevel="0" collapsed="false">
      <c r="B32" s="45" t="s">
        <v>175</v>
      </c>
      <c r="C32" s="45" t="s">
        <v>176</v>
      </c>
      <c r="D32" s="32" t="s">
        <v>92</v>
      </c>
      <c r="E32" s="46" t="n">
        <v>164000</v>
      </c>
      <c r="F32" s="46" t="n">
        <v>84381</v>
      </c>
      <c r="G32" s="47" t="n">
        <v>0.71</v>
      </c>
      <c r="H32" s="45" t="s">
        <v>124</v>
      </c>
    </row>
    <row r="33" customFormat="false" ht="15" hidden="false" customHeight="true" outlineLevel="0" collapsed="false">
      <c r="B33" s="45" t="s">
        <v>177</v>
      </c>
      <c r="C33" s="45" t="s">
        <v>178</v>
      </c>
      <c r="D33" s="32" t="s">
        <v>93</v>
      </c>
      <c r="E33" s="46" t="n">
        <v>696000</v>
      </c>
      <c r="F33" s="46" t="n">
        <v>418005</v>
      </c>
      <c r="G33" s="47" t="n">
        <v>0.72</v>
      </c>
      <c r="H33" s="45" t="s">
        <v>124</v>
      </c>
    </row>
    <row r="34" customFormat="false" ht="15" hidden="false" customHeight="true" outlineLevel="0" collapsed="false">
      <c r="B34" s="45" t="s">
        <v>179</v>
      </c>
      <c r="C34" s="45" t="s">
        <v>180</v>
      </c>
      <c r="D34" s="32" t="s">
        <v>94</v>
      </c>
      <c r="E34" s="46" t="n">
        <v>1920000</v>
      </c>
      <c r="F34" s="46" t="n">
        <v>1673193</v>
      </c>
      <c r="G34" s="47" t="n">
        <v>0.92</v>
      </c>
      <c r="H34" s="45" t="s">
        <v>124</v>
      </c>
    </row>
    <row r="35" customFormat="false" ht="15" hidden="false" customHeight="true" outlineLevel="0" collapsed="false">
      <c r="B35" s="45" t="s">
        <v>181</v>
      </c>
      <c r="C35" s="45" t="s">
        <v>182</v>
      </c>
      <c r="D35" s="32" t="s">
        <v>95</v>
      </c>
      <c r="E35" s="46" t="n">
        <v>694000</v>
      </c>
      <c r="F35" s="46" t="n">
        <v>351381</v>
      </c>
      <c r="G35" s="47" t="n">
        <v>0.82</v>
      </c>
      <c r="H35" s="45" t="s">
        <v>124</v>
      </c>
    </row>
    <row r="36" customFormat="false" ht="15" hidden="false" customHeight="true" outlineLevel="0" collapsed="false">
      <c r="B36" s="45" t="s">
        <v>183</v>
      </c>
      <c r="C36" s="45" t="s">
        <v>184</v>
      </c>
      <c r="D36" s="32" t="s">
        <v>96</v>
      </c>
      <c r="E36" s="46" t="n">
        <v>1861000</v>
      </c>
      <c r="F36" s="46" t="n">
        <v>1595386</v>
      </c>
      <c r="G36" s="47" t="n">
        <v>0.81</v>
      </c>
      <c r="H36" s="45" t="s">
        <v>124</v>
      </c>
    </row>
    <row r="37" customFormat="false" ht="15" hidden="false" customHeight="true" outlineLevel="0" collapsed="false">
      <c r="B37" s="45" t="s">
        <v>185</v>
      </c>
      <c r="C37" s="45" t="s">
        <v>186</v>
      </c>
      <c r="D37" s="32" t="s">
        <v>97</v>
      </c>
      <c r="E37" s="46" t="n">
        <v>592000</v>
      </c>
      <c r="F37" s="46" t="n">
        <v>278130</v>
      </c>
      <c r="G37" s="47" t="n">
        <v>0.89</v>
      </c>
      <c r="H37" s="45" t="s">
        <v>124</v>
      </c>
    </row>
    <row r="38" customFormat="false" ht="15" hidden="false" customHeight="true" outlineLevel="0" collapsed="false">
      <c r="B38" s="45" t="s">
        <v>187</v>
      </c>
      <c r="C38" s="45" t="s">
        <v>188</v>
      </c>
      <c r="D38" s="32" t="s">
        <v>98</v>
      </c>
      <c r="E38" s="46" t="n">
        <v>1153000</v>
      </c>
      <c r="F38" s="46" t="n">
        <v>612670</v>
      </c>
      <c r="G38" s="47" t="n">
        <v>0.85</v>
      </c>
      <c r="H38" s="45" t="s">
        <v>124</v>
      </c>
    </row>
    <row r="39" customFormat="false" ht="15" hidden="false" customHeight="true" outlineLevel="0" collapsed="false">
      <c r="B39" s="45" t="s">
        <v>189</v>
      </c>
      <c r="C39" s="45" t="s">
        <v>190</v>
      </c>
      <c r="D39" s="32" t="s">
        <v>99</v>
      </c>
      <c r="E39" s="46" t="n">
        <v>1888000</v>
      </c>
      <c r="F39" s="46" t="n">
        <v>1306055</v>
      </c>
      <c r="G39" s="47" t="n">
        <v>0.79</v>
      </c>
      <c r="H39" s="45" t="s">
        <v>124</v>
      </c>
    </row>
    <row r="40" customFormat="false" ht="15" hidden="false" customHeight="true" outlineLevel="0" collapsed="false">
      <c r="B40" s="45" t="s">
        <v>191</v>
      </c>
      <c r="C40" s="45" t="s">
        <v>192</v>
      </c>
      <c r="D40" s="32" t="s">
        <v>100</v>
      </c>
      <c r="E40" s="46" t="n">
        <v>333000</v>
      </c>
      <c r="F40" s="46" t="n">
        <v>218036</v>
      </c>
      <c r="G40" s="47" t="n">
        <v>0.72</v>
      </c>
      <c r="H40" s="45" t="s">
        <v>124</v>
      </c>
    </row>
    <row r="41" customFormat="false" ht="15" hidden="false" customHeight="true" outlineLevel="0" collapsed="false">
      <c r="B41" s="45" t="s">
        <v>193</v>
      </c>
      <c r="C41" s="45" t="s">
        <v>194</v>
      </c>
      <c r="D41" s="32" t="s">
        <v>101</v>
      </c>
      <c r="E41" s="46" t="n">
        <v>146000</v>
      </c>
      <c r="F41" s="46" t="n">
        <v>121260</v>
      </c>
      <c r="G41" s="47" t="n">
        <v>0.74</v>
      </c>
      <c r="H41" s="45" t="s">
        <v>124</v>
      </c>
    </row>
    <row r="43" customFormat="false" ht="15" hidden="false" customHeight="true" outlineLevel="0" collapsed="false">
      <c r="B43" s="36" t="s">
        <v>102</v>
      </c>
      <c r="C43" s="36"/>
      <c r="E43" s="37" t="n">
        <f aca="false">SUM(E6:E41)</f>
        <v>38594000</v>
      </c>
      <c r="F43" s="37" t="n">
        <f aca="false">SUM(F6:F41)</f>
        <v>24620318</v>
      </c>
      <c r="G43" s="48" t="n">
        <f aca="false">IFERROR(AVERAGE(G6:G41),0)</f>
        <v>0.818333333333333</v>
      </c>
      <c r="H43" s="36"/>
    </row>
  </sheetData>
  <mergeCells count="2">
    <mergeCell ref="A2:G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2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8"/>
    <col collapsed="false" customWidth="true" hidden="false" outlineLevel="0" max="9" min="9" style="1" width="28"/>
  </cols>
  <sheetData>
    <row r="2" customFormat="false" ht="25.5" hidden="false" customHeight="true" outlineLevel="0" collapsed="false">
      <c r="A2" s="2" t="s">
        <v>195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41" t="s">
        <v>196</v>
      </c>
      <c r="C3" s="41"/>
      <c r="D3" s="41"/>
      <c r="E3" s="41"/>
      <c r="F3" s="41"/>
      <c r="G3" s="41"/>
      <c r="H3" s="41"/>
      <c r="I3" s="41"/>
    </row>
    <row r="5" customFormat="false" ht="31.5" hidden="false" customHeight="true" outlineLevel="0" collapsed="false">
      <c r="B5" s="49" t="s">
        <v>46</v>
      </c>
      <c r="C5" s="49" t="s">
        <v>197</v>
      </c>
      <c r="D5" s="49" t="s">
        <v>198</v>
      </c>
      <c r="E5" s="49" t="s">
        <v>199</v>
      </c>
      <c r="F5" s="49" t="s">
        <v>200</v>
      </c>
      <c r="G5" s="49" t="s">
        <v>201</v>
      </c>
      <c r="H5" s="49" t="s">
        <v>202</v>
      </c>
      <c r="I5" s="49" t="s">
        <v>203</v>
      </c>
      <c r="J5" s="49" t="s">
        <v>110</v>
      </c>
    </row>
    <row r="6" customFormat="false" ht="15" hidden="false" customHeight="true" outlineLevel="0" collapsed="false">
      <c r="B6" s="23" t="s">
        <v>57</v>
      </c>
      <c r="C6" s="42" t="s">
        <v>204</v>
      </c>
      <c r="D6" s="42" t="s">
        <v>205</v>
      </c>
      <c r="E6" s="42" t="s">
        <v>206</v>
      </c>
      <c r="F6" s="42" t="s">
        <v>207</v>
      </c>
      <c r="G6" s="42" t="s">
        <v>208</v>
      </c>
      <c r="H6" s="42" t="s">
        <v>207</v>
      </c>
      <c r="I6" s="42" t="s">
        <v>207</v>
      </c>
      <c r="J6" s="45" t="s">
        <v>209</v>
      </c>
    </row>
    <row r="7" customFormat="false" ht="15" hidden="false" customHeight="true" outlineLevel="0" collapsed="false">
      <c r="B7" s="23" t="s">
        <v>60</v>
      </c>
      <c r="C7" s="42" t="s">
        <v>210</v>
      </c>
      <c r="D7" s="42" t="s">
        <v>211</v>
      </c>
      <c r="E7" s="42" t="s">
        <v>212</v>
      </c>
      <c r="F7" s="42" t="s">
        <v>207</v>
      </c>
      <c r="G7" s="42" t="s">
        <v>208</v>
      </c>
      <c r="H7" s="42" t="s">
        <v>207</v>
      </c>
      <c r="I7" s="42" t="s">
        <v>208</v>
      </c>
      <c r="J7" s="45" t="s">
        <v>209</v>
      </c>
    </row>
    <row r="8" customFormat="false" ht="15" hidden="false" customHeight="true" outlineLevel="0" collapsed="false">
      <c r="B8" s="23" t="s">
        <v>62</v>
      </c>
      <c r="C8" s="42" t="s">
        <v>213</v>
      </c>
      <c r="D8" s="42" t="s">
        <v>214</v>
      </c>
      <c r="E8" s="42" t="s">
        <v>212</v>
      </c>
      <c r="F8" s="42" t="s">
        <v>207</v>
      </c>
      <c r="G8" s="42" t="s">
        <v>207</v>
      </c>
      <c r="H8" s="42" t="s">
        <v>208</v>
      </c>
      <c r="I8" s="42" t="s">
        <v>207</v>
      </c>
      <c r="J8" s="45" t="s">
        <v>209</v>
      </c>
    </row>
    <row r="9" customFormat="false" ht="15" hidden="false" customHeight="true" outlineLevel="0" collapsed="false">
      <c r="B9" s="23" t="s">
        <v>64</v>
      </c>
      <c r="C9" s="42" t="s">
        <v>215</v>
      </c>
      <c r="D9" s="42" t="s">
        <v>216</v>
      </c>
      <c r="E9" s="42" t="s">
        <v>206</v>
      </c>
      <c r="F9" s="42" t="s">
        <v>207</v>
      </c>
      <c r="G9" s="42" t="s">
        <v>208</v>
      </c>
      <c r="H9" s="42" t="s">
        <v>207</v>
      </c>
      <c r="I9" s="42" t="s">
        <v>207</v>
      </c>
      <c r="J9" s="45" t="s">
        <v>209</v>
      </c>
    </row>
    <row r="10" customFormat="false" ht="15" hidden="false" customHeight="true" outlineLevel="0" collapsed="false">
      <c r="B10" s="23" t="s">
        <v>66</v>
      </c>
      <c r="C10" s="42" t="s">
        <v>217</v>
      </c>
      <c r="D10" s="42" t="s">
        <v>218</v>
      </c>
      <c r="E10" s="42" t="s">
        <v>212</v>
      </c>
      <c r="F10" s="42" t="s">
        <v>208</v>
      </c>
      <c r="G10" s="42" t="s">
        <v>208</v>
      </c>
      <c r="H10" s="42" t="s">
        <v>207</v>
      </c>
      <c r="I10" s="42" t="s">
        <v>207</v>
      </c>
      <c r="J10" s="45" t="s">
        <v>209</v>
      </c>
    </row>
    <row r="11" customFormat="false" ht="15" hidden="false" customHeight="true" outlineLevel="0" collapsed="false">
      <c r="B11" s="23" t="s">
        <v>68</v>
      </c>
      <c r="C11" s="42" t="s">
        <v>219</v>
      </c>
      <c r="D11" s="42" t="s">
        <v>220</v>
      </c>
      <c r="E11" s="42" t="s">
        <v>212</v>
      </c>
      <c r="F11" s="42" t="s">
        <v>208</v>
      </c>
      <c r="G11" s="42" t="s">
        <v>208</v>
      </c>
      <c r="H11" s="42" t="s">
        <v>207</v>
      </c>
      <c r="I11" s="42" t="s">
        <v>208</v>
      </c>
      <c r="J11" s="45" t="s">
        <v>209</v>
      </c>
    </row>
    <row r="12" customFormat="false" ht="15" hidden="false" customHeight="true" outlineLevel="0" collapsed="false">
      <c r="B12" s="23" t="s">
        <v>70</v>
      </c>
      <c r="C12" s="42" t="s">
        <v>221</v>
      </c>
      <c r="D12" s="42" t="s">
        <v>222</v>
      </c>
      <c r="E12" s="42" t="s">
        <v>212</v>
      </c>
      <c r="F12" s="42" t="s">
        <v>208</v>
      </c>
      <c r="G12" s="42" t="s">
        <v>207</v>
      </c>
      <c r="H12" s="42" t="s">
        <v>207</v>
      </c>
      <c r="I12" s="42" t="s">
        <v>208</v>
      </c>
      <c r="J12" s="45" t="s">
        <v>209</v>
      </c>
    </row>
    <row r="13" customFormat="false" ht="15" hidden="false" customHeight="true" outlineLevel="0" collapsed="false">
      <c r="B13" s="23" t="s">
        <v>72</v>
      </c>
      <c r="C13" s="42" t="s">
        <v>223</v>
      </c>
      <c r="D13" s="42" t="s">
        <v>224</v>
      </c>
      <c r="E13" s="42" t="s">
        <v>206</v>
      </c>
      <c r="F13" s="42" t="s">
        <v>207</v>
      </c>
      <c r="G13" s="42" t="s">
        <v>208</v>
      </c>
      <c r="H13" s="42" t="s">
        <v>208</v>
      </c>
      <c r="I13" s="42" t="s">
        <v>208</v>
      </c>
      <c r="J13" s="45" t="s">
        <v>209</v>
      </c>
    </row>
    <row r="14" customFormat="false" ht="15" hidden="false" customHeight="true" outlineLevel="0" collapsed="false">
      <c r="B14" s="23" t="s">
        <v>74</v>
      </c>
      <c r="C14" s="42" t="s">
        <v>225</v>
      </c>
      <c r="D14" s="42" t="s">
        <v>226</v>
      </c>
      <c r="E14" s="42" t="s">
        <v>206</v>
      </c>
      <c r="F14" s="42" t="s">
        <v>207</v>
      </c>
      <c r="G14" s="42" t="s">
        <v>208</v>
      </c>
      <c r="H14" s="42" t="s">
        <v>207</v>
      </c>
      <c r="I14" s="42" t="s">
        <v>208</v>
      </c>
      <c r="J14" s="45" t="s">
        <v>209</v>
      </c>
    </row>
    <row r="15" customFormat="false" ht="15" hidden="false" customHeight="true" outlineLevel="0" collapsed="false">
      <c r="B15" s="23" t="s">
        <v>75</v>
      </c>
      <c r="C15" s="42" t="s">
        <v>227</v>
      </c>
      <c r="D15" s="42" t="s">
        <v>228</v>
      </c>
      <c r="E15" s="42" t="s">
        <v>206</v>
      </c>
      <c r="F15" s="42" t="s">
        <v>207</v>
      </c>
      <c r="G15" s="42" t="s">
        <v>208</v>
      </c>
      <c r="H15" s="42" t="s">
        <v>207</v>
      </c>
      <c r="I15" s="42" t="s">
        <v>207</v>
      </c>
      <c r="J15" s="45" t="s">
        <v>209</v>
      </c>
    </row>
    <row r="16" customFormat="false" ht="15" hidden="false" customHeight="true" outlineLevel="0" collapsed="false">
      <c r="B16" s="23" t="s">
        <v>76</v>
      </c>
      <c r="C16" s="42" t="s">
        <v>229</v>
      </c>
      <c r="D16" s="42" t="s">
        <v>230</v>
      </c>
      <c r="E16" s="42" t="s">
        <v>206</v>
      </c>
      <c r="F16" s="42" t="s">
        <v>208</v>
      </c>
      <c r="G16" s="42" t="s">
        <v>207</v>
      </c>
      <c r="H16" s="42" t="s">
        <v>207</v>
      </c>
      <c r="I16" s="42" t="s">
        <v>207</v>
      </c>
      <c r="J16" s="45" t="s">
        <v>209</v>
      </c>
    </row>
    <row r="17" customFormat="false" ht="15" hidden="false" customHeight="true" outlineLevel="0" collapsed="false">
      <c r="B17" s="23" t="s">
        <v>77</v>
      </c>
      <c r="C17" s="42" t="s">
        <v>231</v>
      </c>
      <c r="D17" s="42" t="s">
        <v>232</v>
      </c>
      <c r="E17" s="42" t="s">
        <v>233</v>
      </c>
      <c r="F17" s="42" t="s">
        <v>207</v>
      </c>
      <c r="G17" s="42" t="s">
        <v>208</v>
      </c>
      <c r="H17" s="42" t="s">
        <v>207</v>
      </c>
      <c r="I17" s="42" t="s">
        <v>208</v>
      </c>
      <c r="J17" s="45" t="s">
        <v>209</v>
      </c>
    </row>
    <row r="18" customFormat="false" ht="15" hidden="false" customHeight="true" outlineLevel="0" collapsed="false">
      <c r="B18" s="23" t="s">
        <v>78</v>
      </c>
      <c r="C18" s="42" t="s">
        <v>234</v>
      </c>
      <c r="D18" s="42" t="s">
        <v>235</v>
      </c>
      <c r="E18" s="42" t="s">
        <v>206</v>
      </c>
      <c r="F18" s="42" t="s">
        <v>208</v>
      </c>
      <c r="G18" s="42" t="s">
        <v>208</v>
      </c>
      <c r="H18" s="42" t="s">
        <v>207</v>
      </c>
      <c r="I18" s="42" t="s">
        <v>208</v>
      </c>
      <c r="J18" s="45" t="s">
        <v>209</v>
      </c>
    </row>
    <row r="19" customFormat="false" ht="15" hidden="false" customHeight="true" outlineLevel="0" collapsed="false">
      <c r="B19" s="23" t="s">
        <v>79</v>
      </c>
      <c r="C19" s="42" t="s">
        <v>236</v>
      </c>
      <c r="D19" s="42" t="s">
        <v>237</v>
      </c>
      <c r="E19" s="42" t="s">
        <v>206</v>
      </c>
      <c r="F19" s="42" t="s">
        <v>208</v>
      </c>
      <c r="G19" s="42" t="s">
        <v>208</v>
      </c>
      <c r="H19" s="42" t="s">
        <v>208</v>
      </c>
      <c r="I19" s="42" t="s">
        <v>208</v>
      </c>
      <c r="J19" s="45" t="s">
        <v>209</v>
      </c>
    </row>
    <row r="20" customFormat="false" ht="15" hidden="false" customHeight="true" outlineLevel="0" collapsed="false">
      <c r="B20" s="23" t="s">
        <v>80</v>
      </c>
      <c r="C20" s="42" t="s">
        <v>238</v>
      </c>
      <c r="D20" s="42" t="s">
        <v>239</v>
      </c>
      <c r="E20" s="42" t="s">
        <v>206</v>
      </c>
      <c r="F20" s="42" t="s">
        <v>208</v>
      </c>
      <c r="G20" s="42" t="s">
        <v>208</v>
      </c>
      <c r="H20" s="42" t="s">
        <v>207</v>
      </c>
      <c r="I20" s="42" t="s">
        <v>207</v>
      </c>
      <c r="J20" s="45" t="s">
        <v>209</v>
      </c>
    </row>
    <row r="21" customFormat="false" ht="15" hidden="false" customHeight="true" outlineLevel="0" collapsed="false">
      <c r="B21" s="23" t="s">
        <v>81</v>
      </c>
      <c r="C21" s="42" t="s">
        <v>240</v>
      </c>
      <c r="D21" s="42" t="s">
        <v>241</v>
      </c>
      <c r="E21" s="42" t="s">
        <v>206</v>
      </c>
      <c r="F21" s="42" t="s">
        <v>208</v>
      </c>
      <c r="G21" s="42" t="s">
        <v>207</v>
      </c>
      <c r="H21" s="42" t="s">
        <v>207</v>
      </c>
      <c r="I21" s="42" t="s">
        <v>207</v>
      </c>
      <c r="J21" s="45" t="s">
        <v>209</v>
      </c>
    </row>
    <row r="22" customFormat="false" ht="15" hidden="false" customHeight="true" outlineLevel="0" collapsed="false">
      <c r="B22" s="23" t="s">
        <v>82</v>
      </c>
      <c r="C22" s="42" t="s">
        <v>242</v>
      </c>
      <c r="D22" s="42" t="s">
        <v>243</v>
      </c>
      <c r="E22" s="42" t="s">
        <v>233</v>
      </c>
      <c r="F22" s="42" t="s">
        <v>208</v>
      </c>
      <c r="G22" s="42" t="s">
        <v>208</v>
      </c>
      <c r="H22" s="42" t="s">
        <v>208</v>
      </c>
      <c r="I22" s="42" t="s">
        <v>207</v>
      </c>
      <c r="J22" s="45" t="s">
        <v>209</v>
      </c>
    </row>
    <row r="23" customFormat="false" ht="15" hidden="false" customHeight="true" outlineLevel="0" collapsed="false">
      <c r="B23" s="23" t="s">
        <v>83</v>
      </c>
      <c r="C23" s="42" t="s">
        <v>244</v>
      </c>
      <c r="D23" s="42" t="s">
        <v>245</v>
      </c>
      <c r="E23" s="42" t="s">
        <v>206</v>
      </c>
      <c r="F23" s="42" t="s">
        <v>207</v>
      </c>
      <c r="G23" s="42" t="s">
        <v>207</v>
      </c>
      <c r="H23" s="42" t="s">
        <v>207</v>
      </c>
      <c r="I23" s="42" t="s">
        <v>208</v>
      </c>
      <c r="J23" s="45" t="s">
        <v>209</v>
      </c>
    </row>
    <row r="24" customFormat="false" ht="15" hidden="false" customHeight="true" outlineLevel="0" collapsed="false">
      <c r="B24" s="23" t="s">
        <v>84</v>
      </c>
      <c r="C24" s="42" t="s">
        <v>246</v>
      </c>
      <c r="D24" s="42" t="s">
        <v>247</v>
      </c>
      <c r="E24" s="42" t="s">
        <v>206</v>
      </c>
      <c r="F24" s="42" t="s">
        <v>208</v>
      </c>
      <c r="G24" s="42" t="s">
        <v>207</v>
      </c>
      <c r="H24" s="42" t="s">
        <v>207</v>
      </c>
      <c r="I24" s="42" t="s">
        <v>208</v>
      </c>
      <c r="J24" s="45" t="s">
        <v>209</v>
      </c>
    </row>
    <row r="25" customFormat="false" ht="15" hidden="false" customHeight="true" outlineLevel="0" collapsed="false">
      <c r="B25" s="23" t="s">
        <v>85</v>
      </c>
      <c r="C25" s="42" t="s">
        <v>248</v>
      </c>
      <c r="D25" s="42" t="s">
        <v>249</v>
      </c>
      <c r="E25" s="42" t="s">
        <v>206</v>
      </c>
      <c r="F25" s="42" t="s">
        <v>208</v>
      </c>
      <c r="G25" s="42" t="s">
        <v>208</v>
      </c>
      <c r="H25" s="42" t="s">
        <v>207</v>
      </c>
      <c r="I25" s="42" t="s">
        <v>208</v>
      </c>
      <c r="J25" s="45" t="s">
        <v>209</v>
      </c>
    </row>
    <row r="26" customFormat="false" ht="15" hidden="false" customHeight="true" outlineLevel="0" collapsed="false">
      <c r="B26" s="23" t="s">
        <v>86</v>
      </c>
      <c r="C26" s="42" t="s">
        <v>250</v>
      </c>
      <c r="D26" s="42" t="s">
        <v>251</v>
      </c>
      <c r="E26" s="42" t="s">
        <v>233</v>
      </c>
      <c r="F26" s="42" t="s">
        <v>208</v>
      </c>
      <c r="G26" s="42" t="s">
        <v>207</v>
      </c>
      <c r="H26" s="42" t="s">
        <v>207</v>
      </c>
      <c r="I26" s="42" t="s">
        <v>208</v>
      </c>
      <c r="J26" s="45" t="s">
        <v>209</v>
      </c>
    </row>
    <row r="27" customFormat="false" ht="15" hidden="false" customHeight="true" outlineLevel="0" collapsed="false">
      <c r="B27" s="32" t="s">
        <v>87</v>
      </c>
      <c r="C27" s="45" t="s">
        <v>252</v>
      </c>
      <c r="D27" s="45" t="s">
        <v>253</v>
      </c>
      <c r="E27" s="45" t="s">
        <v>233</v>
      </c>
      <c r="F27" s="45" t="s">
        <v>208</v>
      </c>
      <c r="G27" s="45" t="s">
        <v>208</v>
      </c>
      <c r="H27" s="45" t="s">
        <v>207</v>
      </c>
      <c r="I27" s="45" t="s">
        <v>208</v>
      </c>
      <c r="J27" s="45" t="s">
        <v>209</v>
      </c>
    </row>
    <row r="28" customFormat="false" ht="15" hidden="false" customHeight="true" outlineLevel="0" collapsed="false">
      <c r="B28" s="32" t="s">
        <v>88</v>
      </c>
      <c r="C28" s="45" t="s">
        <v>254</v>
      </c>
      <c r="D28" s="45" t="s">
        <v>255</v>
      </c>
      <c r="E28" s="45" t="s">
        <v>206</v>
      </c>
      <c r="F28" s="45" t="s">
        <v>208</v>
      </c>
      <c r="G28" s="45" t="s">
        <v>208</v>
      </c>
      <c r="H28" s="45" t="s">
        <v>207</v>
      </c>
      <c r="I28" s="45" t="s">
        <v>207</v>
      </c>
      <c r="J28" s="45" t="s">
        <v>209</v>
      </c>
    </row>
    <row r="29" customFormat="false" ht="15" hidden="false" customHeight="true" outlineLevel="0" collapsed="false">
      <c r="B29" s="32" t="s">
        <v>89</v>
      </c>
      <c r="C29" s="45" t="s">
        <v>256</v>
      </c>
      <c r="D29" s="45" t="s">
        <v>257</v>
      </c>
      <c r="E29" s="45" t="s">
        <v>206</v>
      </c>
      <c r="F29" s="45" t="s">
        <v>207</v>
      </c>
      <c r="G29" s="45" t="s">
        <v>208</v>
      </c>
      <c r="H29" s="45" t="s">
        <v>208</v>
      </c>
      <c r="I29" s="45" t="s">
        <v>208</v>
      </c>
      <c r="J29" s="45" t="s">
        <v>209</v>
      </c>
    </row>
    <row r="30" customFormat="false" ht="15" hidden="false" customHeight="true" outlineLevel="0" collapsed="false">
      <c r="B30" s="32" t="s">
        <v>90</v>
      </c>
      <c r="C30" s="45" t="s">
        <v>258</v>
      </c>
      <c r="D30" s="45" t="s">
        <v>259</v>
      </c>
      <c r="E30" s="45" t="s">
        <v>233</v>
      </c>
      <c r="F30" s="45" t="s">
        <v>207</v>
      </c>
      <c r="G30" s="45" t="s">
        <v>207</v>
      </c>
      <c r="H30" s="45" t="s">
        <v>207</v>
      </c>
      <c r="I30" s="45" t="s">
        <v>207</v>
      </c>
      <c r="J30" s="45" t="s">
        <v>209</v>
      </c>
    </row>
    <row r="31" customFormat="false" ht="15" hidden="false" customHeight="true" outlineLevel="0" collapsed="false">
      <c r="B31" s="32" t="s">
        <v>91</v>
      </c>
      <c r="C31" s="45" t="s">
        <v>260</v>
      </c>
      <c r="D31" s="45" t="s">
        <v>261</v>
      </c>
      <c r="E31" s="45" t="s">
        <v>206</v>
      </c>
      <c r="F31" s="45" t="s">
        <v>208</v>
      </c>
      <c r="G31" s="45" t="s">
        <v>207</v>
      </c>
      <c r="H31" s="45" t="s">
        <v>207</v>
      </c>
      <c r="I31" s="45" t="s">
        <v>208</v>
      </c>
      <c r="J31" s="45" t="s">
        <v>209</v>
      </c>
    </row>
    <row r="32" customFormat="false" ht="15" hidden="false" customHeight="true" outlineLevel="0" collapsed="false">
      <c r="B32" s="32" t="s">
        <v>92</v>
      </c>
      <c r="C32" s="45" t="s">
        <v>262</v>
      </c>
      <c r="D32" s="45" t="s">
        <v>263</v>
      </c>
      <c r="E32" s="45" t="s">
        <v>212</v>
      </c>
      <c r="F32" s="45" t="s">
        <v>208</v>
      </c>
      <c r="G32" s="45" t="s">
        <v>207</v>
      </c>
      <c r="H32" s="45" t="s">
        <v>208</v>
      </c>
      <c r="I32" s="45" t="s">
        <v>207</v>
      </c>
      <c r="J32" s="45" t="s">
        <v>209</v>
      </c>
    </row>
    <row r="33" customFormat="false" ht="15" hidden="false" customHeight="true" outlineLevel="0" collapsed="false">
      <c r="B33" s="32" t="s">
        <v>93</v>
      </c>
      <c r="C33" s="45" t="s">
        <v>264</v>
      </c>
      <c r="D33" s="45" t="s">
        <v>265</v>
      </c>
      <c r="E33" s="45" t="s">
        <v>212</v>
      </c>
      <c r="F33" s="45" t="s">
        <v>208</v>
      </c>
      <c r="G33" s="45" t="s">
        <v>208</v>
      </c>
      <c r="H33" s="45" t="s">
        <v>207</v>
      </c>
      <c r="I33" s="45" t="s">
        <v>208</v>
      </c>
      <c r="J33" s="45" t="s">
        <v>209</v>
      </c>
    </row>
    <row r="34" customFormat="false" ht="15" hidden="false" customHeight="true" outlineLevel="0" collapsed="false">
      <c r="B34" s="32" t="s">
        <v>94</v>
      </c>
      <c r="C34" s="45" t="s">
        <v>266</v>
      </c>
      <c r="D34" s="45" t="s">
        <v>267</v>
      </c>
      <c r="E34" s="45" t="s">
        <v>206</v>
      </c>
      <c r="F34" s="45" t="s">
        <v>208</v>
      </c>
      <c r="G34" s="45" t="s">
        <v>208</v>
      </c>
      <c r="H34" s="45" t="s">
        <v>207</v>
      </c>
      <c r="I34" s="45" t="s">
        <v>208</v>
      </c>
      <c r="J34" s="45" t="s">
        <v>209</v>
      </c>
    </row>
    <row r="35" customFormat="false" ht="15" hidden="false" customHeight="true" outlineLevel="0" collapsed="false">
      <c r="B35" s="32" t="s">
        <v>95</v>
      </c>
      <c r="C35" s="45" t="s">
        <v>268</v>
      </c>
      <c r="D35" s="45" t="s">
        <v>269</v>
      </c>
      <c r="E35" s="45" t="s">
        <v>233</v>
      </c>
      <c r="F35" s="45" t="s">
        <v>208</v>
      </c>
      <c r="G35" s="45" t="s">
        <v>208</v>
      </c>
      <c r="H35" s="45" t="s">
        <v>207</v>
      </c>
      <c r="I35" s="45" t="s">
        <v>208</v>
      </c>
      <c r="J35" s="45" t="s">
        <v>209</v>
      </c>
    </row>
    <row r="36" customFormat="false" ht="15" hidden="false" customHeight="true" outlineLevel="0" collapsed="false">
      <c r="B36" s="32" t="s">
        <v>96</v>
      </c>
      <c r="C36" s="45" t="s">
        <v>270</v>
      </c>
      <c r="D36" s="45" t="s">
        <v>271</v>
      </c>
      <c r="E36" s="45" t="s">
        <v>212</v>
      </c>
      <c r="F36" s="45" t="s">
        <v>208</v>
      </c>
      <c r="G36" s="45" t="s">
        <v>207</v>
      </c>
      <c r="H36" s="45" t="s">
        <v>207</v>
      </c>
      <c r="I36" s="45" t="s">
        <v>207</v>
      </c>
      <c r="J36" s="45" t="s">
        <v>209</v>
      </c>
    </row>
    <row r="37" customFormat="false" ht="15" hidden="false" customHeight="true" outlineLevel="0" collapsed="false">
      <c r="B37" s="32" t="s">
        <v>97</v>
      </c>
      <c r="C37" s="45" t="s">
        <v>272</v>
      </c>
      <c r="D37" s="45" t="s">
        <v>273</v>
      </c>
      <c r="E37" s="45" t="s">
        <v>206</v>
      </c>
      <c r="F37" s="45" t="s">
        <v>208</v>
      </c>
      <c r="G37" s="45" t="s">
        <v>207</v>
      </c>
      <c r="H37" s="45" t="s">
        <v>207</v>
      </c>
      <c r="I37" s="45" t="s">
        <v>207</v>
      </c>
      <c r="J37" s="45" t="s">
        <v>209</v>
      </c>
    </row>
    <row r="38" customFormat="false" ht="15" hidden="false" customHeight="true" outlineLevel="0" collapsed="false">
      <c r="B38" s="32" t="s">
        <v>98</v>
      </c>
      <c r="C38" s="45" t="s">
        <v>274</v>
      </c>
      <c r="D38" s="45" t="s">
        <v>275</v>
      </c>
      <c r="E38" s="45" t="s">
        <v>206</v>
      </c>
      <c r="F38" s="45" t="s">
        <v>207</v>
      </c>
      <c r="G38" s="45" t="s">
        <v>207</v>
      </c>
      <c r="H38" s="45" t="s">
        <v>207</v>
      </c>
      <c r="I38" s="45" t="s">
        <v>208</v>
      </c>
      <c r="J38" s="45" t="s">
        <v>209</v>
      </c>
    </row>
    <row r="39" customFormat="false" ht="15" hidden="false" customHeight="true" outlineLevel="0" collapsed="false">
      <c r="B39" s="32" t="s">
        <v>99</v>
      </c>
      <c r="C39" s="45" t="s">
        <v>276</v>
      </c>
      <c r="D39" s="45" t="s">
        <v>277</v>
      </c>
      <c r="E39" s="45" t="s">
        <v>206</v>
      </c>
      <c r="F39" s="45" t="s">
        <v>207</v>
      </c>
      <c r="G39" s="45" t="s">
        <v>208</v>
      </c>
      <c r="H39" s="45" t="s">
        <v>208</v>
      </c>
      <c r="I39" s="45" t="s">
        <v>208</v>
      </c>
      <c r="J39" s="45" t="s">
        <v>209</v>
      </c>
    </row>
    <row r="40" customFormat="false" ht="15" hidden="false" customHeight="true" outlineLevel="0" collapsed="false">
      <c r="B40" s="32" t="s">
        <v>100</v>
      </c>
      <c r="C40" s="45" t="s">
        <v>278</v>
      </c>
      <c r="D40" s="45" t="s">
        <v>279</v>
      </c>
      <c r="E40" s="45" t="s">
        <v>212</v>
      </c>
      <c r="F40" s="45" t="s">
        <v>207</v>
      </c>
      <c r="G40" s="45" t="s">
        <v>208</v>
      </c>
      <c r="H40" s="45" t="s">
        <v>207</v>
      </c>
      <c r="I40" s="45" t="s">
        <v>208</v>
      </c>
      <c r="J40" s="45" t="s">
        <v>209</v>
      </c>
    </row>
    <row r="41" customFormat="false" ht="15" hidden="false" customHeight="true" outlineLevel="0" collapsed="false">
      <c r="B41" s="32" t="s">
        <v>101</v>
      </c>
      <c r="C41" s="45" t="s">
        <v>280</v>
      </c>
      <c r="D41" s="45" t="s">
        <v>281</v>
      </c>
      <c r="E41" s="45" t="s">
        <v>206</v>
      </c>
      <c r="F41" s="45" t="s">
        <v>207</v>
      </c>
      <c r="G41" s="45" t="s">
        <v>207</v>
      </c>
      <c r="H41" s="45" t="s">
        <v>208</v>
      </c>
      <c r="I41" s="45" t="s">
        <v>207</v>
      </c>
      <c r="J41" s="45" t="s">
        <v>209</v>
      </c>
    </row>
    <row r="43" customFormat="false" ht="15" hidden="false" customHeight="true" outlineLevel="0" collapsed="false">
      <c r="B43" s="36" t="s">
        <v>206</v>
      </c>
      <c r="C43" s="36" t="n">
        <f aca="false">COUNTIF(E6:E41,"Compliant")</f>
        <v>21</v>
      </c>
    </row>
    <row r="44" customFormat="false" ht="15" hidden="false" customHeight="true" outlineLevel="0" collapsed="false">
      <c r="B44" s="36" t="s">
        <v>282</v>
      </c>
      <c r="C44" s="36" t="n">
        <f aca="false">COUNTA(C6:C41)</f>
        <v>36</v>
      </c>
    </row>
    <row r="45" customFormat="false" ht="15" hidden="false" customHeight="true" outlineLevel="0" collapsed="false">
      <c r="B45" s="36" t="s">
        <v>283</v>
      </c>
      <c r="C45" s="36" t="n">
        <f aca="false">COUNTIF(F6:F41,"Yes")</f>
        <v>21</v>
      </c>
    </row>
    <row r="46" customFormat="false" ht="15" hidden="false" customHeight="true" outlineLevel="0" collapsed="false">
      <c r="B46" s="36" t="s">
        <v>284</v>
      </c>
      <c r="C46" s="36" t="n">
        <f aca="false">COUNTIF(G6:G41,"Yes")</f>
        <v>22</v>
      </c>
    </row>
    <row r="47" customFormat="false" ht="15" hidden="false" customHeight="true" outlineLevel="0" collapsed="false">
      <c r="B47" s="36" t="s">
        <v>285</v>
      </c>
      <c r="C47" s="36" t="n">
        <f aca="false">COUNTIF(H6:H41,"Yes")</f>
        <v>8</v>
      </c>
    </row>
    <row r="48" customFormat="false" ht="15" hidden="false" customHeight="true" outlineLevel="0" collapsed="false">
      <c r="B48" s="36" t="s">
        <v>286</v>
      </c>
      <c r="C48" s="36" t="n">
        <f aca="false">COUNTIF(I6:I41,"Yes")</f>
        <v>21</v>
      </c>
    </row>
  </sheetData>
  <mergeCells count="2">
    <mergeCell ref="A2:I2"/>
    <mergeCell ref="B3:I3"/>
  </mergeCells>
  <dataValidations count="2">
    <dataValidation allowBlank="true" errorStyle="stop" operator="between" showDropDown="false" showErrorMessage="false" showInputMessage="false" sqref="D7:D26" type="list">
      <formula1>"Compliant,Non-compliant,Under Review"</formula1>
      <formula2>0</formula2>
    </dataValidation>
    <dataValidation allowBlank="true" errorStyle="stop" operator="between" showDropDown="false" showErrorMessage="false" showInputMessage="false" sqref="E7:H26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5" min="4" style="1" width="20"/>
    <col collapsed="false" customWidth="true" hidden="false" outlineLevel="0" max="6" min="6" style="1" width="22"/>
    <col collapsed="false" customWidth="true" hidden="false" outlineLevel="0" max="7" min="7" style="1" width="32"/>
    <col collapsed="false" customWidth="true" hidden="false" outlineLevel="0" max="8" min="8" style="1" width="24"/>
  </cols>
  <sheetData>
    <row r="2" customFormat="false" ht="25.5" hidden="false" customHeight="true" outlineLevel="0" collapsed="false">
      <c r="A2" s="2" t="s">
        <v>287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B3" s="41" t="s">
        <v>288</v>
      </c>
      <c r="C3" s="41"/>
      <c r="D3" s="41"/>
      <c r="E3" s="41"/>
      <c r="F3" s="41"/>
      <c r="G3" s="41"/>
      <c r="H3" s="41"/>
    </row>
    <row r="5" customFormat="false" ht="31.5" hidden="false" customHeight="true" outlineLevel="0" collapsed="false">
      <c r="B5" s="7" t="s">
        <v>289</v>
      </c>
      <c r="C5" s="7" t="s">
        <v>46</v>
      </c>
      <c r="D5" s="7" t="s">
        <v>290</v>
      </c>
      <c r="E5" s="7" t="s">
        <v>291</v>
      </c>
      <c r="F5" s="7" t="s">
        <v>292</v>
      </c>
      <c r="G5" s="7" t="s">
        <v>293</v>
      </c>
      <c r="H5" s="7" t="s">
        <v>110</v>
      </c>
    </row>
    <row r="6" customFormat="false" ht="34.5" hidden="false" customHeight="true" outlineLevel="0" collapsed="false">
      <c r="B6" s="42" t="s">
        <v>294</v>
      </c>
      <c r="C6" s="23" t="s">
        <v>57</v>
      </c>
      <c r="D6" s="42" t="s">
        <v>295</v>
      </c>
      <c r="E6" s="43" t="n">
        <v>328</v>
      </c>
      <c r="F6" s="43" t="n">
        <v>161</v>
      </c>
      <c r="G6" s="42" t="s">
        <v>296</v>
      </c>
      <c r="H6" s="42" t="s">
        <v>209</v>
      </c>
    </row>
    <row r="7" customFormat="false" ht="15" hidden="false" customHeight="true" outlineLevel="0" collapsed="false">
      <c r="B7" s="42" t="s">
        <v>297</v>
      </c>
      <c r="C7" s="23" t="s">
        <v>60</v>
      </c>
      <c r="D7" s="42" t="s">
        <v>298</v>
      </c>
      <c r="E7" s="43" t="n">
        <v>354</v>
      </c>
      <c r="F7" s="43" t="n">
        <v>50</v>
      </c>
      <c r="G7" s="42" t="s">
        <v>296</v>
      </c>
      <c r="H7" s="42" t="s">
        <v>209</v>
      </c>
    </row>
    <row r="8" customFormat="false" ht="15" hidden="false" customHeight="true" outlineLevel="0" collapsed="false">
      <c r="B8" s="42" t="s">
        <v>299</v>
      </c>
      <c r="C8" s="23" t="s">
        <v>62</v>
      </c>
      <c r="D8" s="42" t="s">
        <v>298</v>
      </c>
      <c r="E8" s="43" t="n">
        <v>74</v>
      </c>
      <c r="F8" s="43" t="n">
        <v>33</v>
      </c>
      <c r="G8" s="42" t="s">
        <v>296</v>
      </c>
      <c r="H8" s="42" t="s">
        <v>209</v>
      </c>
    </row>
    <row r="9" customFormat="false" ht="15" hidden="false" customHeight="true" outlineLevel="0" collapsed="false">
      <c r="B9" s="42" t="s">
        <v>300</v>
      </c>
      <c r="C9" s="23" t="s">
        <v>64</v>
      </c>
      <c r="D9" s="42" t="s">
        <v>301</v>
      </c>
      <c r="E9" s="43" t="n">
        <v>159</v>
      </c>
      <c r="F9" s="43" t="n">
        <v>54</v>
      </c>
      <c r="G9" s="42" t="s">
        <v>302</v>
      </c>
      <c r="H9" s="42" t="s">
        <v>209</v>
      </c>
    </row>
    <row r="10" customFormat="false" ht="15" hidden="false" customHeight="true" outlineLevel="0" collapsed="false">
      <c r="B10" s="42" t="s">
        <v>303</v>
      </c>
      <c r="C10" s="23" t="s">
        <v>66</v>
      </c>
      <c r="D10" s="42" t="s">
        <v>301</v>
      </c>
      <c r="E10" s="43" t="n">
        <v>366</v>
      </c>
      <c r="F10" s="43" t="n">
        <v>129</v>
      </c>
      <c r="G10" s="42" t="s">
        <v>304</v>
      </c>
      <c r="H10" s="42" t="s">
        <v>209</v>
      </c>
    </row>
    <row r="11" customFormat="false" ht="15" hidden="false" customHeight="true" outlineLevel="0" collapsed="false">
      <c r="B11" s="42" t="s">
        <v>305</v>
      </c>
      <c r="C11" s="23" t="s">
        <v>68</v>
      </c>
      <c r="D11" s="42" t="s">
        <v>295</v>
      </c>
      <c r="E11" s="43" t="n">
        <v>143</v>
      </c>
      <c r="F11" s="43" t="n">
        <v>66</v>
      </c>
      <c r="G11" s="42" t="s">
        <v>306</v>
      </c>
      <c r="H11" s="42" t="s">
        <v>209</v>
      </c>
    </row>
    <row r="12" customFormat="false" ht="15" hidden="false" customHeight="true" outlineLevel="0" collapsed="false">
      <c r="B12" s="42" t="s">
        <v>307</v>
      </c>
      <c r="C12" s="23" t="s">
        <v>70</v>
      </c>
      <c r="D12" s="42" t="s">
        <v>301</v>
      </c>
      <c r="E12" s="43" t="n">
        <v>339</v>
      </c>
      <c r="F12" s="43" t="n">
        <v>91</v>
      </c>
      <c r="G12" s="42" t="s">
        <v>306</v>
      </c>
      <c r="H12" s="42" t="s">
        <v>209</v>
      </c>
    </row>
    <row r="13" customFormat="false" ht="15" hidden="false" customHeight="true" outlineLevel="0" collapsed="false">
      <c r="B13" s="42" t="s">
        <v>308</v>
      </c>
      <c r="C13" s="23" t="s">
        <v>72</v>
      </c>
      <c r="D13" s="42" t="s">
        <v>298</v>
      </c>
      <c r="E13" s="43" t="n">
        <v>16</v>
      </c>
      <c r="F13" s="43" t="n">
        <v>3</v>
      </c>
      <c r="G13" s="42" t="s">
        <v>296</v>
      </c>
      <c r="H13" s="42" t="s">
        <v>209</v>
      </c>
    </row>
    <row r="14" customFormat="false" ht="15" hidden="false" customHeight="true" outlineLevel="0" collapsed="false">
      <c r="B14" s="42" t="s">
        <v>309</v>
      </c>
      <c r="C14" s="23" t="s">
        <v>74</v>
      </c>
      <c r="D14" s="42" t="s">
        <v>310</v>
      </c>
      <c r="E14" s="43" t="n">
        <v>97</v>
      </c>
      <c r="F14" s="43" t="n">
        <v>38</v>
      </c>
      <c r="G14" s="42" t="s">
        <v>306</v>
      </c>
      <c r="H14" s="42" t="s">
        <v>209</v>
      </c>
    </row>
    <row r="15" customFormat="false" ht="15" hidden="false" customHeight="true" outlineLevel="0" collapsed="false">
      <c r="B15" s="42" t="s">
        <v>311</v>
      </c>
      <c r="C15" s="23" t="s">
        <v>75</v>
      </c>
      <c r="D15" s="42" t="s">
        <v>298</v>
      </c>
      <c r="E15" s="43" t="n">
        <v>72</v>
      </c>
      <c r="F15" s="43" t="n">
        <v>9</v>
      </c>
      <c r="G15" s="42" t="s">
        <v>306</v>
      </c>
      <c r="H15" s="42" t="s">
        <v>209</v>
      </c>
    </row>
    <row r="16" customFormat="false" ht="15" hidden="false" customHeight="true" outlineLevel="0" collapsed="false">
      <c r="B16" s="42" t="s">
        <v>312</v>
      </c>
      <c r="C16" s="23" t="s">
        <v>76</v>
      </c>
      <c r="D16" s="42" t="s">
        <v>298</v>
      </c>
      <c r="E16" s="43" t="n">
        <v>204</v>
      </c>
      <c r="F16" s="43" t="n">
        <v>67</v>
      </c>
      <c r="G16" s="42" t="s">
        <v>304</v>
      </c>
      <c r="H16" s="42" t="s">
        <v>209</v>
      </c>
    </row>
    <row r="17" customFormat="false" ht="15" hidden="false" customHeight="true" outlineLevel="0" collapsed="false">
      <c r="B17" s="42" t="s">
        <v>313</v>
      </c>
      <c r="C17" s="23" t="s">
        <v>77</v>
      </c>
      <c r="D17" s="42" t="s">
        <v>301</v>
      </c>
      <c r="E17" s="43" t="n">
        <v>80</v>
      </c>
      <c r="F17" s="43" t="n">
        <v>9</v>
      </c>
      <c r="G17" s="42" t="s">
        <v>306</v>
      </c>
      <c r="H17" s="42" t="s">
        <v>209</v>
      </c>
    </row>
    <row r="18" customFormat="false" ht="15" hidden="false" customHeight="true" outlineLevel="0" collapsed="false">
      <c r="B18" s="42" t="s">
        <v>314</v>
      </c>
      <c r="C18" s="23" t="s">
        <v>78</v>
      </c>
      <c r="D18" s="42" t="s">
        <v>298</v>
      </c>
      <c r="E18" s="43" t="n">
        <v>198</v>
      </c>
      <c r="F18" s="43" t="n">
        <v>36</v>
      </c>
      <c r="G18" s="42" t="s">
        <v>306</v>
      </c>
      <c r="H18" s="42" t="s">
        <v>209</v>
      </c>
    </row>
    <row r="19" customFormat="false" ht="15" hidden="false" customHeight="true" outlineLevel="0" collapsed="false">
      <c r="B19" s="42" t="s">
        <v>315</v>
      </c>
      <c r="C19" s="23" t="s">
        <v>79</v>
      </c>
      <c r="D19" s="42" t="s">
        <v>310</v>
      </c>
      <c r="E19" s="43" t="n">
        <v>196</v>
      </c>
      <c r="F19" s="43" t="n">
        <v>80</v>
      </c>
      <c r="G19" s="42" t="s">
        <v>302</v>
      </c>
      <c r="H19" s="42" t="s">
        <v>209</v>
      </c>
    </row>
    <row r="20" customFormat="false" ht="15" hidden="false" customHeight="true" outlineLevel="0" collapsed="false">
      <c r="B20" s="42" t="s">
        <v>316</v>
      </c>
      <c r="C20" s="23" t="s">
        <v>80</v>
      </c>
      <c r="D20" s="42" t="s">
        <v>298</v>
      </c>
      <c r="E20" s="43" t="n">
        <v>136</v>
      </c>
      <c r="F20" s="43" t="n">
        <v>60</v>
      </c>
      <c r="G20" s="42" t="s">
        <v>304</v>
      </c>
      <c r="H20" s="42" t="s">
        <v>209</v>
      </c>
    </row>
    <row r="21" customFormat="false" ht="15" hidden="false" customHeight="true" outlineLevel="0" collapsed="false">
      <c r="B21" s="42" t="s">
        <v>317</v>
      </c>
      <c r="C21" s="23" t="s">
        <v>81</v>
      </c>
      <c r="D21" s="42" t="s">
        <v>301</v>
      </c>
      <c r="E21" s="43" t="n">
        <v>27</v>
      </c>
      <c r="F21" s="43" t="n">
        <v>4</v>
      </c>
      <c r="G21" s="42" t="s">
        <v>304</v>
      </c>
      <c r="H21" s="42" t="s">
        <v>209</v>
      </c>
    </row>
    <row r="22" customFormat="false" ht="15" hidden="false" customHeight="true" outlineLevel="0" collapsed="false">
      <c r="B22" s="42" t="s">
        <v>318</v>
      </c>
      <c r="C22" s="23" t="s">
        <v>82</v>
      </c>
      <c r="D22" s="42" t="s">
        <v>298</v>
      </c>
      <c r="E22" s="43" t="n">
        <v>357</v>
      </c>
      <c r="F22" s="43" t="n">
        <v>159</v>
      </c>
      <c r="G22" s="42" t="s">
        <v>296</v>
      </c>
      <c r="H22" s="42" t="s">
        <v>209</v>
      </c>
    </row>
    <row r="23" customFormat="false" ht="15" hidden="false" customHeight="true" outlineLevel="0" collapsed="false">
      <c r="B23" s="42" t="s">
        <v>319</v>
      </c>
      <c r="C23" s="23" t="s">
        <v>83</v>
      </c>
      <c r="D23" s="42" t="s">
        <v>295</v>
      </c>
      <c r="E23" s="43" t="n">
        <v>96</v>
      </c>
      <c r="F23" s="43" t="n">
        <v>39</v>
      </c>
      <c r="G23" s="42" t="s">
        <v>304</v>
      </c>
      <c r="H23" s="42" t="s">
        <v>209</v>
      </c>
    </row>
    <row r="24" customFormat="false" ht="15" hidden="false" customHeight="true" outlineLevel="0" collapsed="false">
      <c r="B24" s="42" t="s">
        <v>320</v>
      </c>
      <c r="C24" s="23" t="s">
        <v>84</v>
      </c>
      <c r="D24" s="42" t="s">
        <v>298</v>
      </c>
      <c r="E24" s="43" t="n">
        <v>34</v>
      </c>
      <c r="F24" s="43" t="n">
        <v>15</v>
      </c>
      <c r="G24" s="42" t="s">
        <v>302</v>
      </c>
      <c r="H24" s="42" t="s">
        <v>209</v>
      </c>
    </row>
    <row r="25" customFormat="false" ht="15" hidden="false" customHeight="true" outlineLevel="0" collapsed="false">
      <c r="B25" s="42" t="s">
        <v>321</v>
      </c>
      <c r="C25" s="23" t="s">
        <v>85</v>
      </c>
      <c r="D25" s="42" t="s">
        <v>298</v>
      </c>
      <c r="E25" s="43" t="n">
        <v>250</v>
      </c>
      <c r="F25" s="43" t="n">
        <v>59</v>
      </c>
      <c r="G25" s="42" t="s">
        <v>302</v>
      </c>
      <c r="H25" s="42" t="s">
        <v>209</v>
      </c>
    </row>
    <row r="26" customFormat="false" ht="15" hidden="false" customHeight="true" outlineLevel="0" collapsed="false">
      <c r="B26" s="42" t="s">
        <v>322</v>
      </c>
      <c r="C26" s="23" t="s">
        <v>86</v>
      </c>
      <c r="D26" s="42" t="s">
        <v>310</v>
      </c>
      <c r="E26" s="43" t="n">
        <v>27</v>
      </c>
      <c r="F26" s="43" t="n">
        <v>9</v>
      </c>
      <c r="G26" s="42" t="s">
        <v>296</v>
      </c>
      <c r="H26" s="42" t="s">
        <v>209</v>
      </c>
    </row>
    <row r="27" customFormat="false" ht="15" hidden="false" customHeight="true" outlineLevel="0" collapsed="false">
      <c r="B27" s="45" t="s">
        <v>323</v>
      </c>
      <c r="C27" s="32" t="s">
        <v>87</v>
      </c>
      <c r="D27" s="45" t="s">
        <v>301</v>
      </c>
      <c r="E27" s="46" t="n">
        <v>157</v>
      </c>
      <c r="F27" s="46" t="n">
        <v>69</v>
      </c>
      <c r="G27" s="45" t="s">
        <v>296</v>
      </c>
      <c r="H27" s="45" t="s">
        <v>209</v>
      </c>
    </row>
    <row r="28" customFormat="false" ht="15" hidden="false" customHeight="true" outlineLevel="0" collapsed="false">
      <c r="B28" s="45" t="s">
        <v>324</v>
      </c>
      <c r="C28" s="32" t="s">
        <v>88</v>
      </c>
      <c r="D28" s="45" t="s">
        <v>301</v>
      </c>
      <c r="E28" s="46" t="n">
        <v>343</v>
      </c>
      <c r="F28" s="46" t="n">
        <v>104</v>
      </c>
      <c r="G28" s="45" t="s">
        <v>306</v>
      </c>
      <c r="H28" s="45" t="s">
        <v>209</v>
      </c>
    </row>
    <row r="29" customFormat="false" ht="15" hidden="false" customHeight="true" outlineLevel="0" collapsed="false">
      <c r="B29" s="45" t="s">
        <v>325</v>
      </c>
      <c r="C29" s="32" t="s">
        <v>89</v>
      </c>
      <c r="D29" s="45" t="s">
        <v>301</v>
      </c>
      <c r="E29" s="46" t="n">
        <v>74</v>
      </c>
      <c r="F29" s="46" t="n">
        <v>33</v>
      </c>
      <c r="G29" s="45" t="s">
        <v>302</v>
      </c>
      <c r="H29" s="45" t="s">
        <v>209</v>
      </c>
    </row>
    <row r="30" customFormat="false" ht="15" hidden="false" customHeight="true" outlineLevel="0" collapsed="false">
      <c r="B30" s="45" t="s">
        <v>326</v>
      </c>
      <c r="C30" s="32" t="s">
        <v>90</v>
      </c>
      <c r="D30" s="45" t="s">
        <v>301</v>
      </c>
      <c r="E30" s="46" t="n">
        <v>312</v>
      </c>
      <c r="F30" s="46" t="n">
        <v>151</v>
      </c>
      <c r="G30" s="45" t="s">
        <v>306</v>
      </c>
      <c r="H30" s="45" t="s">
        <v>209</v>
      </c>
    </row>
    <row r="31" customFormat="false" ht="15" hidden="false" customHeight="true" outlineLevel="0" collapsed="false">
      <c r="B31" s="45" t="s">
        <v>327</v>
      </c>
      <c r="C31" s="32" t="s">
        <v>91</v>
      </c>
      <c r="D31" s="45" t="s">
        <v>301</v>
      </c>
      <c r="E31" s="46" t="n">
        <v>70</v>
      </c>
      <c r="F31" s="46" t="n">
        <v>23</v>
      </c>
      <c r="G31" s="45" t="s">
        <v>296</v>
      </c>
      <c r="H31" s="45" t="s">
        <v>209</v>
      </c>
    </row>
    <row r="32" customFormat="false" ht="15" hidden="false" customHeight="true" outlineLevel="0" collapsed="false">
      <c r="B32" s="45" t="s">
        <v>328</v>
      </c>
      <c r="C32" s="32" t="s">
        <v>92</v>
      </c>
      <c r="D32" s="45" t="s">
        <v>295</v>
      </c>
      <c r="E32" s="46" t="n">
        <v>238</v>
      </c>
      <c r="F32" s="46" t="n">
        <v>81</v>
      </c>
      <c r="G32" s="45" t="s">
        <v>304</v>
      </c>
      <c r="H32" s="45" t="s">
        <v>209</v>
      </c>
    </row>
    <row r="33" customFormat="false" ht="15" hidden="false" customHeight="true" outlineLevel="0" collapsed="false">
      <c r="B33" s="45" t="s">
        <v>329</v>
      </c>
      <c r="C33" s="32" t="s">
        <v>93</v>
      </c>
      <c r="D33" s="45" t="s">
        <v>295</v>
      </c>
      <c r="E33" s="46" t="n">
        <v>310</v>
      </c>
      <c r="F33" s="46" t="n">
        <v>54</v>
      </c>
      <c r="G33" s="45" t="s">
        <v>304</v>
      </c>
      <c r="H33" s="45" t="s">
        <v>209</v>
      </c>
    </row>
    <row r="34" customFormat="false" ht="15" hidden="false" customHeight="true" outlineLevel="0" collapsed="false">
      <c r="B34" s="45" t="s">
        <v>330</v>
      </c>
      <c r="C34" s="32" t="s">
        <v>94</v>
      </c>
      <c r="D34" s="45" t="s">
        <v>298</v>
      </c>
      <c r="E34" s="46" t="n">
        <v>15</v>
      </c>
      <c r="F34" s="46" t="n">
        <v>4</v>
      </c>
      <c r="G34" s="45" t="s">
        <v>296</v>
      </c>
      <c r="H34" s="45" t="s">
        <v>209</v>
      </c>
    </row>
    <row r="35" customFormat="false" ht="15" hidden="false" customHeight="true" outlineLevel="0" collapsed="false">
      <c r="B35" s="45" t="s">
        <v>331</v>
      </c>
      <c r="C35" s="32" t="s">
        <v>95</v>
      </c>
      <c r="D35" s="45" t="s">
        <v>301</v>
      </c>
      <c r="E35" s="46" t="n">
        <v>235</v>
      </c>
      <c r="F35" s="46" t="n">
        <v>30</v>
      </c>
      <c r="G35" s="45" t="s">
        <v>296</v>
      </c>
      <c r="H35" s="45" t="s">
        <v>209</v>
      </c>
    </row>
    <row r="36" customFormat="false" ht="15" hidden="false" customHeight="true" outlineLevel="0" collapsed="false">
      <c r="B36" s="45" t="s">
        <v>332</v>
      </c>
      <c r="C36" s="32" t="s">
        <v>96</v>
      </c>
      <c r="D36" s="45" t="s">
        <v>301</v>
      </c>
      <c r="E36" s="46" t="n">
        <v>354</v>
      </c>
      <c r="F36" s="46" t="n">
        <v>155</v>
      </c>
      <c r="G36" s="45" t="s">
        <v>296</v>
      </c>
      <c r="H36" s="45" t="s">
        <v>209</v>
      </c>
    </row>
    <row r="37" customFormat="false" ht="15" hidden="false" customHeight="true" outlineLevel="0" collapsed="false">
      <c r="B37" s="45" t="s">
        <v>333</v>
      </c>
      <c r="C37" s="32" t="s">
        <v>97</v>
      </c>
      <c r="D37" s="45" t="s">
        <v>310</v>
      </c>
      <c r="E37" s="46" t="n">
        <v>356</v>
      </c>
      <c r="F37" s="46" t="n">
        <v>93</v>
      </c>
      <c r="G37" s="45" t="s">
        <v>296</v>
      </c>
      <c r="H37" s="45" t="s">
        <v>209</v>
      </c>
    </row>
    <row r="38" customFormat="false" ht="15" hidden="false" customHeight="true" outlineLevel="0" collapsed="false">
      <c r="B38" s="45" t="s">
        <v>334</v>
      </c>
      <c r="C38" s="32" t="s">
        <v>98</v>
      </c>
      <c r="D38" s="45" t="s">
        <v>310</v>
      </c>
      <c r="E38" s="46" t="n">
        <v>298</v>
      </c>
      <c r="F38" s="46" t="n">
        <v>44</v>
      </c>
      <c r="G38" s="45" t="s">
        <v>304</v>
      </c>
      <c r="H38" s="45" t="s">
        <v>209</v>
      </c>
    </row>
    <row r="39" customFormat="false" ht="15" hidden="false" customHeight="true" outlineLevel="0" collapsed="false">
      <c r="B39" s="45" t="s">
        <v>335</v>
      </c>
      <c r="C39" s="32" t="s">
        <v>99</v>
      </c>
      <c r="D39" s="45" t="s">
        <v>298</v>
      </c>
      <c r="E39" s="46" t="n">
        <v>361</v>
      </c>
      <c r="F39" s="46" t="n">
        <v>144</v>
      </c>
      <c r="G39" s="45" t="s">
        <v>296</v>
      </c>
      <c r="H39" s="45" t="s">
        <v>209</v>
      </c>
    </row>
    <row r="40" customFormat="false" ht="15" hidden="false" customHeight="true" outlineLevel="0" collapsed="false">
      <c r="B40" s="45" t="s">
        <v>336</v>
      </c>
      <c r="C40" s="32" t="s">
        <v>100</v>
      </c>
      <c r="D40" s="45" t="s">
        <v>295</v>
      </c>
      <c r="E40" s="46" t="n">
        <v>222</v>
      </c>
      <c r="F40" s="46" t="n">
        <v>70</v>
      </c>
      <c r="G40" s="45" t="s">
        <v>296</v>
      </c>
      <c r="H40" s="45" t="s">
        <v>209</v>
      </c>
    </row>
    <row r="41" customFormat="false" ht="15" hidden="false" customHeight="true" outlineLevel="0" collapsed="false">
      <c r="B41" s="45" t="s">
        <v>337</v>
      </c>
      <c r="C41" s="32" t="s">
        <v>101</v>
      </c>
      <c r="D41" s="45" t="s">
        <v>301</v>
      </c>
      <c r="E41" s="46" t="n">
        <v>161</v>
      </c>
      <c r="F41" s="46" t="n">
        <v>29</v>
      </c>
      <c r="G41" s="45" t="s">
        <v>304</v>
      </c>
      <c r="H41" s="45" t="s">
        <v>209</v>
      </c>
    </row>
    <row r="43" customFormat="false" ht="15" hidden="false" customHeight="true" outlineLevel="0" collapsed="false">
      <c r="B43" s="36" t="s">
        <v>338</v>
      </c>
      <c r="C43" s="36" t="n">
        <f aca="false">COUNTA(B6:B41)</f>
        <v>36</v>
      </c>
    </row>
    <row r="44" customFormat="false" ht="15" hidden="false" customHeight="true" outlineLevel="0" collapsed="false">
      <c r="B44" s="36" t="s">
        <v>339</v>
      </c>
      <c r="C44" s="36" t="n">
        <f aca="false">COUNTIF(D6:D41,"Formalized")+COUNTIF(D6:D41,"Remediated")</f>
        <v>18</v>
      </c>
    </row>
    <row r="45" customFormat="false" ht="15" hidden="false" customHeight="true" outlineLevel="0" collapsed="false">
      <c r="B45" s="36" t="s">
        <v>340</v>
      </c>
      <c r="C45" s="36" t="n">
        <f aca="false">SUM(E6:E41)</f>
        <v>7059</v>
      </c>
    </row>
    <row r="46" customFormat="false" ht="15" hidden="false" customHeight="true" outlineLevel="0" collapsed="false">
      <c r="B46" s="36" t="s">
        <v>341</v>
      </c>
      <c r="C46" s="36" t="n">
        <f aca="false">SUM(F6:F41)</f>
        <v>2255</v>
      </c>
    </row>
  </sheetData>
  <mergeCells count="2">
    <mergeCell ref="A2:G2"/>
    <mergeCell ref="B3:H3"/>
  </mergeCells>
  <dataValidations count="1">
    <dataValidation allowBlank="true" errorStyle="stop" operator="between" showDropDown="false" showErrorMessage="false" showInputMessage="false" sqref="D7:D26" type="list">
      <formula1>"Active (Not Formalized),Partially Formalized,Formalized,Remediated"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30"/>
  </cols>
  <sheetData>
    <row r="2" customFormat="false" ht="25.5" hidden="false" customHeight="true" outlineLevel="0" collapsed="false">
      <c r="A2" s="2" t="s">
        <v>342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41" t="s">
        <v>343</v>
      </c>
      <c r="C3" s="41"/>
      <c r="D3" s="41"/>
      <c r="E3" s="41"/>
      <c r="F3" s="41"/>
      <c r="G3" s="41"/>
      <c r="H3" s="41"/>
      <c r="I3" s="41"/>
    </row>
    <row r="5" customFormat="false" ht="31.5" hidden="false" customHeight="true" outlineLevel="0" collapsed="false">
      <c r="B5" s="7" t="s">
        <v>344</v>
      </c>
      <c r="C5" s="7" t="s">
        <v>46</v>
      </c>
      <c r="D5" s="7" t="s">
        <v>345</v>
      </c>
      <c r="E5" s="7" t="s">
        <v>346</v>
      </c>
      <c r="F5" s="7" t="s">
        <v>347</v>
      </c>
      <c r="G5" s="7" t="s">
        <v>348</v>
      </c>
      <c r="H5" s="7" t="s">
        <v>349</v>
      </c>
      <c r="I5" s="7" t="s">
        <v>110</v>
      </c>
    </row>
    <row r="6" customFormat="false" ht="23.25" hidden="false" customHeight="true" outlineLevel="0" collapsed="false">
      <c r="B6" s="42" t="s">
        <v>350</v>
      </c>
      <c r="C6" s="23" t="s">
        <v>57</v>
      </c>
      <c r="D6" s="42" t="s">
        <v>351</v>
      </c>
      <c r="E6" s="42" t="s">
        <v>352</v>
      </c>
      <c r="F6" s="42" t="s">
        <v>353</v>
      </c>
      <c r="G6" s="42" t="s">
        <v>207</v>
      </c>
      <c r="H6" s="43" t="n">
        <v>0</v>
      </c>
      <c r="I6" s="42" t="s">
        <v>209</v>
      </c>
    </row>
    <row r="7" customFormat="false" ht="15" hidden="false" customHeight="true" outlineLevel="0" collapsed="false">
      <c r="B7" s="42" t="s">
        <v>354</v>
      </c>
      <c r="C7" s="23" t="s">
        <v>60</v>
      </c>
      <c r="D7" s="42" t="s">
        <v>355</v>
      </c>
      <c r="E7" s="42" t="s">
        <v>356</v>
      </c>
      <c r="F7" s="42" t="s">
        <v>357</v>
      </c>
      <c r="G7" s="42" t="s">
        <v>207</v>
      </c>
      <c r="H7" s="43" t="n">
        <v>0</v>
      </c>
      <c r="I7" s="42" t="s">
        <v>209</v>
      </c>
    </row>
    <row r="8" customFormat="false" ht="15" hidden="false" customHeight="true" outlineLevel="0" collapsed="false">
      <c r="B8" s="42" t="s">
        <v>358</v>
      </c>
      <c r="C8" s="23" t="s">
        <v>62</v>
      </c>
      <c r="D8" s="42" t="s">
        <v>359</v>
      </c>
      <c r="E8" s="42" t="s">
        <v>360</v>
      </c>
      <c r="F8" s="42" t="s">
        <v>357</v>
      </c>
      <c r="G8" s="42" t="s">
        <v>208</v>
      </c>
      <c r="H8" s="43" t="n">
        <v>121</v>
      </c>
      <c r="I8" s="42" t="s">
        <v>209</v>
      </c>
    </row>
    <row r="9" customFormat="false" ht="15" hidden="false" customHeight="true" outlineLevel="0" collapsed="false">
      <c r="B9" s="42" t="s">
        <v>361</v>
      </c>
      <c r="C9" s="23" t="s">
        <v>64</v>
      </c>
      <c r="D9" s="42" t="s">
        <v>355</v>
      </c>
      <c r="E9" s="42" t="s">
        <v>362</v>
      </c>
      <c r="F9" s="42" t="s">
        <v>353</v>
      </c>
      <c r="G9" s="42" t="s">
        <v>207</v>
      </c>
      <c r="H9" s="43" t="n">
        <v>0</v>
      </c>
      <c r="I9" s="42" t="s">
        <v>209</v>
      </c>
    </row>
    <row r="10" customFormat="false" ht="15" hidden="false" customHeight="true" outlineLevel="0" collapsed="false">
      <c r="B10" s="42" t="s">
        <v>363</v>
      </c>
      <c r="C10" s="23" t="s">
        <v>66</v>
      </c>
      <c r="D10" s="42" t="s">
        <v>359</v>
      </c>
      <c r="E10" s="42" t="s">
        <v>364</v>
      </c>
      <c r="F10" s="42" t="s">
        <v>353</v>
      </c>
      <c r="G10" s="42" t="s">
        <v>207</v>
      </c>
      <c r="H10" s="43" t="n">
        <v>0</v>
      </c>
      <c r="I10" s="42" t="s">
        <v>209</v>
      </c>
    </row>
    <row r="11" customFormat="false" ht="15" hidden="false" customHeight="true" outlineLevel="0" collapsed="false">
      <c r="B11" s="42" t="s">
        <v>365</v>
      </c>
      <c r="C11" s="23" t="s">
        <v>68</v>
      </c>
      <c r="D11" s="42" t="s">
        <v>351</v>
      </c>
      <c r="E11" s="42" t="s">
        <v>366</v>
      </c>
      <c r="F11" s="42" t="s">
        <v>353</v>
      </c>
      <c r="G11" s="42" t="s">
        <v>208</v>
      </c>
      <c r="H11" s="43" t="n">
        <v>74</v>
      </c>
      <c r="I11" s="42" t="s">
        <v>209</v>
      </c>
    </row>
    <row r="12" customFormat="false" ht="15" hidden="false" customHeight="true" outlineLevel="0" collapsed="false">
      <c r="B12" s="42" t="s">
        <v>367</v>
      </c>
      <c r="C12" s="23" t="s">
        <v>70</v>
      </c>
      <c r="D12" s="42" t="s">
        <v>351</v>
      </c>
      <c r="E12" s="42" t="s">
        <v>368</v>
      </c>
      <c r="F12" s="42" t="s">
        <v>369</v>
      </c>
      <c r="G12" s="42" t="s">
        <v>208</v>
      </c>
      <c r="H12" s="43" t="n">
        <v>147</v>
      </c>
      <c r="I12" s="42" t="s">
        <v>209</v>
      </c>
    </row>
    <row r="13" customFormat="false" ht="15" hidden="false" customHeight="true" outlineLevel="0" collapsed="false">
      <c r="B13" s="42" t="s">
        <v>370</v>
      </c>
      <c r="C13" s="23" t="s">
        <v>72</v>
      </c>
      <c r="D13" s="42" t="s">
        <v>359</v>
      </c>
      <c r="E13" s="42" t="s">
        <v>371</v>
      </c>
      <c r="F13" s="42" t="s">
        <v>369</v>
      </c>
      <c r="G13" s="42" t="s">
        <v>207</v>
      </c>
      <c r="H13" s="43" t="n">
        <v>0</v>
      </c>
      <c r="I13" s="42" t="s">
        <v>209</v>
      </c>
    </row>
    <row r="14" customFormat="false" ht="15" hidden="false" customHeight="true" outlineLevel="0" collapsed="false">
      <c r="B14" s="42" t="s">
        <v>372</v>
      </c>
      <c r="C14" s="23" t="s">
        <v>74</v>
      </c>
      <c r="D14" s="42" t="s">
        <v>351</v>
      </c>
      <c r="E14" s="42" t="s">
        <v>373</v>
      </c>
      <c r="F14" s="42" t="s">
        <v>369</v>
      </c>
      <c r="G14" s="42" t="s">
        <v>207</v>
      </c>
      <c r="H14" s="43" t="n">
        <v>0</v>
      </c>
      <c r="I14" s="42" t="s">
        <v>209</v>
      </c>
    </row>
    <row r="15" customFormat="false" ht="15" hidden="false" customHeight="true" outlineLevel="0" collapsed="false">
      <c r="B15" s="42" t="s">
        <v>374</v>
      </c>
      <c r="C15" s="23" t="s">
        <v>75</v>
      </c>
      <c r="D15" s="42" t="s">
        <v>355</v>
      </c>
      <c r="E15" s="42" t="s">
        <v>375</v>
      </c>
      <c r="F15" s="42" t="s">
        <v>369</v>
      </c>
      <c r="G15" s="42" t="s">
        <v>207</v>
      </c>
      <c r="H15" s="43" t="n">
        <v>0</v>
      </c>
      <c r="I15" s="42" t="s">
        <v>209</v>
      </c>
    </row>
    <row r="16" customFormat="false" ht="15" hidden="false" customHeight="true" outlineLevel="0" collapsed="false">
      <c r="B16" s="42" t="s">
        <v>376</v>
      </c>
      <c r="C16" s="23" t="s">
        <v>76</v>
      </c>
      <c r="D16" s="42" t="s">
        <v>377</v>
      </c>
      <c r="E16" s="42" t="s">
        <v>378</v>
      </c>
      <c r="F16" s="42" t="s">
        <v>357</v>
      </c>
      <c r="G16" s="42" t="s">
        <v>207</v>
      </c>
      <c r="H16" s="43" t="n">
        <v>0</v>
      </c>
      <c r="I16" s="42" t="s">
        <v>209</v>
      </c>
    </row>
    <row r="17" customFormat="false" ht="15" hidden="false" customHeight="true" outlineLevel="0" collapsed="false">
      <c r="B17" s="42" t="s">
        <v>379</v>
      </c>
      <c r="C17" s="23" t="s">
        <v>77</v>
      </c>
      <c r="D17" s="42" t="s">
        <v>355</v>
      </c>
      <c r="E17" s="42" t="s">
        <v>380</v>
      </c>
      <c r="F17" s="42" t="s">
        <v>353</v>
      </c>
      <c r="G17" s="42" t="s">
        <v>207</v>
      </c>
      <c r="H17" s="43" t="n">
        <v>0</v>
      </c>
      <c r="I17" s="42" t="s">
        <v>209</v>
      </c>
    </row>
    <row r="18" customFormat="false" ht="15" hidden="false" customHeight="true" outlineLevel="0" collapsed="false">
      <c r="B18" s="42" t="s">
        <v>381</v>
      </c>
      <c r="C18" s="23" t="s">
        <v>78</v>
      </c>
      <c r="D18" s="42" t="s">
        <v>355</v>
      </c>
      <c r="E18" s="42" t="s">
        <v>382</v>
      </c>
      <c r="F18" s="42" t="s">
        <v>357</v>
      </c>
      <c r="G18" s="42" t="s">
        <v>208</v>
      </c>
      <c r="H18" s="43" t="n">
        <v>90</v>
      </c>
      <c r="I18" s="42" t="s">
        <v>209</v>
      </c>
    </row>
    <row r="19" customFormat="false" ht="15" hidden="false" customHeight="true" outlineLevel="0" collapsed="false">
      <c r="B19" s="42" t="s">
        <v>383</v>
      </c>
      <c r="C19" s="23" t="s">
        <v>79</v>
      </c>
      <c r="D19" s="42" t="s">
        <v>355</v>
      </c>
      <c r="E19" s="42" t="s">
        <v>384</v>
      </c>
      <c r="F19" s="42" t="s">
        <v>353</v>
      </c>
      <c r="G19" s="42" t="s">
        <v>208</v>
      </c>
      <c r="H19" s="43" t="n">
        <v>52</v>
      </c>
      <c r="I19" s="42" t="s">
        <v>209</v>
      </c>
    </row>
    <row r="20" customFormat="false" ht="15" hidden="false" customHeight="true" outlineLevel="0" collapsed="false">
      <c r="B20" s="42" t="s">
        <v>385</v>
      </c>
      <c r="C20" s="23" t="s">
        <v>80</v>
      </c>
      <c r="D20" s="42" t="s">
        <v>351</v>
      </c>
      <c r="E20" s="42" t="s">
        <v>386</v>
      </c>
      <c r="F20" s="42" t="s">
        <v>369</v>
      </c>
      <c r="G20" s="42" t="s">
        <v>207</v>
      </c>
      <c r="H20" s="43" t="n">
        <v>0</v>
      </c>
      <c r="I20" s="42" t="s">
        <v>209</v>
      </c>
    </row>
    <row r="21" customFormat="false" ht="15" hidden="false" customHeight="true" outlineLevel="0" collapsed="false">
      <c r="B21" s="42" t="s">
        <v>387</v>
      </c>
      <c r="C21" s="23" t="s">
        <v>81</v>
      </c>
      <c r="D21" s="42" t="s">
        <v>359</v>
      </c>
      <c r="E21" s="42" t="s">
        <v>378</v>
      </c>
      <c r="F21" s="42" t="s">
        <v>369</v>
      </c>
      <c r="G21" s="42" t="s">
        <v>207</v>
      </c>
      <c r="H21" s="43" t="n">
        <v>0</v>
      </c>
      <c r="I21" s="42" t="s">
        <v>209</v>
      </c>
    </row>
    <row r="22" customFormat="false" ht="15" hidden="false" customHeight="true" outlineLevel="0" collapsed="false">
      <c r="B22" s="42" t="s">
        <v>388</v>
      </c>
      <c r="C22" s="23" t="s">
        <v>82</v>
      </c>
      <c r="D22" s="42" t="s">
        <v>359</v>
      </c>
      <c r="E22" s="42" t="s">
        <v>389</v>
      </c>
      <c r="F22" s="42" t="s">
        <v>369</v>
      </c>
      <c r="G22" s="42" t="s">
        <v>208</v>
      </c>
      <c r="H22" s="43" t="n">
        <v>200</v>
      </c>
      <c r="I22" s="42" t="s">
        <v>209</v>
      </c>
    </row>
    <row r="23" customFormat="false" ht="15" hidden="false" customHeight="true" outlineLevel="0" collapsed="false">
      <c r="B23" s="42" t="s">
        <v>390</v>
      </c>
      <c r="C23" s="23" t="s">
        <v>83</v>
      </c>
      <c r="D23" s="42" t="s">
        <v>377</v>
      </c>
      <c r="E23" s="42" t="s">
        <v>391</v>
      </c>
      <c r="F23" s="42" t="s">
        <v>369</v>
      </c>
      <c r="G23" s="42" t="s">
        <v>208</v>
      </c>
      <c r="H23" s="43" t="n">
        <v>269</v>
      </c>
      <c r="I23" s="42" t="s">
        <v>209</v>
      </c>
    </row>
    <row r="24" customFormat="false" ht="15" hidden="false" customHeight="true" outlineLevel="0" collapsed="false">
      <c r="B24" s="42" t="s">
        <v>392</v>
      </c>
      <c r="C24" s="23" t="s">
        <v>84</v>
      </c>
      <c r="D24" s="42" t="s">
        <v>355</v>
      </c>
      <c r="E24" s="42" t="s">
        <v>393</v>
      </c>
      <c r="F24" s="42" t="s">
        <v>369</v>
      </c>
      <c r="G24" s="42" t="s">
        <v>208</v>
      </c>
      <c r="H24" s="43" t="n">
        <v>219</v>
      </c>
      <c r="I24" s="42" t="s">
        <v>209</v>
      </c>
    </row>
    <row r="25" customFormat="false" ht="15" hidden="false" customHeight="true" outlineLevel="0" collapsed="false">
      <c r="B25" s="42" t="s">
        <v>394</v>
      </c>
      <c r="C25" s="23" t="s">
        <v>85</v>
      </c>
      <c r="D25" s="42" t="s">
        <v>377</v>
      </c>
      <c r="E25" s="42" t="s">
        <v>395</v>
      </c>
      <c r="F25" s="42" t="s">
        <v>369</v>
      </c>
      <c r="G25" s="42" t="s">
        <v>208</v>
      </c>
      <c r="H25" s="43" t="n">
        <v>259</v>
      </c>
      <c r="I25" s="42" t="s">
        <v>209</v>
      </c>
    </row>
    <row r="26" customFormat="false" ht="15" hidden="false" customHeight="true" outlineLevel="0" collapsed="false">
      <c r="B26" s="42" t="s">
        <v>396</v>
      </c>
      <c r="C26" s="23" t="s">
        <v>86</v>
      </c>
      <c r="D26" s="42" t="s">
        <v>355</v>
      </c>
      <c r="E26" s="42" t="s">
        <v>397</v>
      </c>
      <c r="F26" s="42" t="s">
        <v>353</v>
      </c>
      <c r="G26" s="42" t="s">
        <v>207</v>
      </c>
      <c r="H26" s="43" t="n">
        <v>0</v>
      </c>
      <c r="I26" s="42" t="s">
        <v>209</v>
      </c>
    </row>
    <row r="27" customFormat="false" ht="15" hidden="false" customHeight="true" outlineLevel="0" collapsed="false">
      <c r="B27" s="45" t="s">
        <v>398</v>
      </c>
      <c r="C27" s="32" t="s">
        <v>87</v>
      </c>
      <c r="D27" s="45" t="s">
        <v>359</v>
      </c>
      <c r="E27" s="45" t="s">
        <v>399</v>
      </c>
      <c r="F27" s="45" t="s">
        <v>369</v>
      </c>
      <c r="G27" s="45" t="s">
        <v>208</v>
      </c>
      <c r="H27" s="46" t="n">
        <v>256</v>
      </c>
      <c r="I27" s="45" t="s">
        <v>209</v>
      </c>
    </row>
    <row r="28" customFormat="false" ht="15" hidden="false" customHeight="true" outlineLevel="0" collapsed="false">
      <c r="B28" s="45" t="s">
        <v>400</v>
      </c>
      <c r="C28" s="32" t="s">
        <v>88</v>
      </c>
      <c r="D28" s="45" t="s">
        <v>355</v>
      </c>
      <c r="E28" s="45" t="s">
        <v>401</v>
      </c>
      <c r="F28" s="45" t="s">
        <v>369</v>
      </c>
      <c r="G28" s="45" t="s">
        <v>207</v>
      </c>
      <c r="H28" s="46" t="n">
        <v>0</v>
      </c>
      <c r="I28" s="45" t="s">
        <v>209</v>
      </c>
    </row>
    <row r="29" customFormat="false" ht="15" hidden="false" customHeight="true" outlineLevel="0" collapsed="false">
      <c r="B29" s="45" t="s">
        <v>402</v>
      </c>
      <c r="C29" s="32" t="s">
        <v>89</v>
      </c>
      <c r="D29" s="45" t="s">
        <v>355</v>
      </c>
      <c r="E29" s="45" t="s">
        <v>403</v>
      </c>
      <c r="F29" s="45" t="s">
        <v>357</v>
      </c>
      <c r="G29" s="45" t="s">
        <v>207</v>
      </c>
      <c r="H29" s="46" t="n">
        <v>0</v>
      </c>
      <c r="I29" s="45" t="s">
        <v>209</v>
      </c>
    </row>
    <row r="30" customFormat="false" ht="15" hidden="false" customHeight="true" outlineLevel="0" collapsed="false">
      <c r="B30" s="45" t="s">
        <v>404</v>
      </c>
      <c r="C30" s="32" t="s">
        <v>90</v>
      </c>
      <c r="D30" s="45" t="s">
        <v>377</v>
      </c>
      <c r="E30" s="45" t="s">
        <v>405</v>
      </c>
      <c r="F30" s="45" t="s">
        <v>353</v>
      </c>
      <c r="G30" s="45" t="s">
        <v>207</v>
      </c>
      <c r="H30" s="46" t="n">
        <v>0</v>
      </c>
      <c r="I30" s="45" t="s">
        <v>209</v>
      </c>
    </row>
    <row r="31" customFormat="false" ht="15" hidden="false" customHeight="true" outlineLevel="0" collapsed="false">
      <c r="B31" s="45" t="s">
        <v>406</v>
      </c>
      <c r="C31" s="32" t="s">
        <v>91</v>
      </c>
      <c r="D31" s="45" t="s">
        <v>359</v>
      </c>
      <c r="E31" s="45" t="s">
        <v>407</v>
      </c>
      <c r="F31" s="45" t="s">
        <v>353</v>
      </c>
      <c r="G31" s="45" t="s">
        <v>207</v>
      </c>
      <c r="H31" s="46" t="n">
        <v>0</v>
      </c>
      <c r="I31" s="45" t="s">
        <v>209</v>
      </c>
    </row>
    <row r="32" customFormat="false" ht="15" hidden="false" customHeight="true" outlineLevel="0" collapsed="false">
      <c r="B32" s="45" t="s">
        <v>408</v>
      </c>
      <c r="C32" s="32" t="s">
        <v>92</v>
      </c>
      <c r="D32" s="45" t="s">
        <v>355</v>
      </c>
      <c r="E32" s="45" t="s">
        <v>356</v>
      </c>
      <c r="F32" s="45" t="s">
        <v>353</v>
      </c>
      <c r="G32" s="45" t="s">
        <v>208</v>
      </c>
      <c r="H32" s="46" t="n">
        <v>146</v>
      </c>
      <c r="I32" s="45" t="s">
        <v>209</v>
      </c>
    </row>
    <row r="33" customFormat="false" ht="15" hidden="false" customHeight="true" outlineLevel="0" collapsed="false">
      <c r="B33" s="45" t="s">
        <v>409</v>
      </c>
      <c r="C33" s="32" t="s">
        <v>93</v>
      </c>
      <c r="D33" s="45" t="s">
        <v>355</v>
      </c>
      <c r="E33" s="45" t="s">
        <v>410</v>
      </c>
      <c r="F33" s="45" t="s">
        <v>353</v>
      </c>
      <c r="G33" s="45" t="s">
        <v>208</v>
      </c>
      <c r="H33" s="46" t="n">
        <v>84</v>
      </c>
      <c r="I33" s="45" t="s">
        <v>209</v>
      </c>
    </row>
    <row r="34" customFormat="false" ht="15" hidden="false" customHeight="true" outlineLevel="0" collapsed="false">
      <c r="B34" s="45" t="s">
        <v>411</v>
      </c>
      <c r="C34" s="32" t="s">
        <v>94</v>
      </c>
      <c r="D34" s="45" t="s">
        <v>351</v>
      </c>
      <c r="E34" s="45" t="s">
        <v>412</v>
      </c>
      <c r="F34" s="45" t="s">
        <v>353</v>
      </c>
      <c r="G34" s="45" t="s">
        <v>207</v>
      </c>
      <c r="H34" s="46" t="n">
        <v>0</v>
      </c>
      <c r="I34" s="45" t="s">
        <v>209</v>
      </c>
    </row>
    <row r="35" customFormat="false" ht="15" hidden="false" customHeight="true" outlineLevel="0" collapsed="false">
      <c r="B35" s="45" t="s">
        <v>413</v>
      </c>
      <c r="C35" s="32" t="s">
        <v>95</v>
      </c>
      <c r="D35" s="45" t="s">
        <v>377</v>
      </c>
      <c r="E35" s="45" t="s">
        <v>414</v>
      </c>
      <c r="F35" s="45" t="s">
        <v>353</v>
      </c>
      <c r="G35" s="45" t="s">
        <v>208</v>
      </c>
      <c r="H35" s="46" t="n">
        <v>179</v>
      </c>
      <c r="I35" s="45" t="s">
        <v>209</v>
      </c>
    </row>
    <row r="36" customFormat="false" ht="15" hidden="false" customHeight="true" outlineLevel="0" collapsed="false">
      <c r="B36" s="45" t="s">
        <v>415</v>
      </c>
      <c r="C36" s="32" t="s">
        <v>96</v>
      </c>
      <c r="D36" s="45" t="s">
        <v>359</v>
      </c>
      <c r="E36" s="45" t="s">
        <v>416</v>
      </c>
      <c r="F36" s="45" t="s">
        <v>357</v>
      </c>
      <c r="G36" s="45" t="s">
        <v>207</v>
      </c>
      <c r="H36" s="46" t="n">
        <v>0</v>
      </c>
      <c r="I36" s="45" t="s">
        <v>209</v>
      </c>
    </row>
    <row r="37" customFormat="false" ht="15" hidden="false" customHeight="true" outlineLevel="0" collapsed="false">
      <c r="B37" s="45" t="s">
        <v>417</v>
      </c>
      <c r="C37" s="32" t="s">
        <v>97</v>
      </c>
      <c r="D37" s="45" t="s">
        <v>351</v>
      </c>
      <c r="E37" s="45" t="s">
        <v>418</v>
      </c>
      <c r="F37" s="45" t="s">
        <v>353</v>
      </c>
      <c r="G37" s="45" t="s">
        <v>208</v>
      </c>
      <c r="H37" s="46" t="n">
        <v>72</v>
      </c>
      <c r="I37" s="45" t="s">
        <v>209</v>
      </c>
    </row>
    <row r="38" customFormat="false" ht="15" hidden="false" customHeight="true" outlineLevel="0" collapsed="false">
      <c r="B38" s="45" t="s">
        <v>419</v>
      </c>
      <c r="C38" s="32" t="s">
        <v>98</v>
      </c>
      <c r="D38" s="45" t="s">
        <v>377</v>
      </c>
      <c r="E38" s="45" t="s">
        <v>420</v>
      </c>
      <c r="F38" s="45" t="s">
        <v>353</v>
      </c>
      <c r="G38" s="45" t="s">
        <v>208</v>
      </c>
      <c r="H38" s="46" t="n">
        <v>197</v>
      </c>
      <c r="I38" s="45" t="s">
        <v>209</v>
      </c>
    </row>
    <row r="39" customFormat="false" ht="15" hidden="false" customHeight="true" outlineLevel="0" collapsed="false">
      <c r="B39" s="45" t="s">
        <v>421</v>
      </c>
      <c r="C39" s="32" t="s">
        <v>99</v>
      </c>
      <c r="D39" s="45" t="s">
        <v>351</v>
      </c>
      <c r="E39" s="45" t="s">
        <v>422</v>
      </c>
      <c r="F39" s="45" t="s">
        <v>353</v>
      </c>
      <c r="G39" s="45" t="s">
        <v>207</v>
      </c>
      <c r="H39" s="46" t="n">
        <v>0</v>
      </c>
      <c r="I39" s="45" t="s">
        <v>209</v>
      </c>
    </row>
    <row r="40" customFormat="false" ht="15" hidden="false" customHeight="true" outlineLevel="0" collapsed="false">
      <c r="B40" s="45" t="s">
        <v>423</v>
      </c>
      <c r="C40" s="32" t="s">
        <v>100</v>
      </c>
      <c r="D40" s="45" t="s">
        <v>359</v>
      </c>
      <c r="E40" s="45" t="s">
        <v>424</v>
      </c>
      <c r="F40" s="45" t="s">
        <v>369</v>
      </c>
      <c r="G40" s="45" t="s">
        <v>208</v>
      </c>
      <c r="H40" s="46" t="n">
        <v>241</v>
      </c>
      <c r="I40" s="45" t="s">
        <v>209</v>
      </c>
    </row>
    <row r="41" customFormat="false" ht="15" hidden="false" customHeight="true" outlineLevel="0" collapsed="false">
      <c r="B41" s="45" t="s">
        <v>425</v>
      </c>
      <c r="C41" s="32" t="s">
        <v>101</v>
      </c>
      <c r="D41" s="45" t="s">
        <v>377</v>
      </c>
      <c r="E41" s="45" t="s">
        <v>426</v>
      </c>
      <c r="F41" s="45" t="s">
        <v>369</v>
      </c>
      <c r="G41" s="45" t="s">
        <v>208</v>
      </c>
      <c r="H41" s="46" t="n">
        <v>242</v>
      </c>
      <c r="I41" s="45" t="s">
        <v>209</v>
      </c>
    </row>
    <row r="43" customFormat="false" ht="15" hidden="false" customHeight="true" outlineLevel="0" collapsed="false">
      <c r="B43" s="36" t="s">
        <v>427</v>
      </c>
      <c r="C43" s="36" t="n">
        <f aca="false">SUMPRODUCT((B6:B41&lt;&gt;"")/COUNTIF(B6:B41,B6:B41&amp;""))</f>
        <v>36</v>
      </c>
    </row>
    <row r="44" customFormat="false" ht="15" hidden="false" customHeight="true" outlineLevel="0" collapsed="false">
      <c r="B44" s="36" t="s">
        <v>428</v>
      </c>
      <c r="C44" s="36" t="n">
        <f aca="false">COUNTIF(G6:G41,"Yes")</f>
        <v>17</v>
      </c>
    </row>
    <row r="45" customFormat="false" ht="15" hidden="false" customHeight="true" outlineLevel="0" collapsed="false">
      <c r="B45" s="36" t="s">
        <v>429</v>
      </c>
      <c r="C45" s="36" t="n">
        <f aca="false">SUM(H6:H41)</f>
        <v>2848</v>
      </c>
    </row>
  </sheetData>
  <mergeCells count="2">
    <mergeCell ref="A2:H2"/>
    <mergeCell ref="B3:I3"/>
  </mergeCells>
  <dataValidations count="3">
    <dataValidation allowBlank="true" errorStyle="stop" operator="between" showDropDown="false" showErrorMessage="false" showInputMessage="false" sqref="D7:D26" type="list">
      <formula1>"Soil,Water,Air,Soil + Water,Soil + Water + Air"</formula1>
      <formula2>0</formula2>
    </dataValidation>
    <dataValidation allowBlank="true" errorStyle="stop" operator="between" showDropDown="false" showErrorMessage="false" showInputMessage="false" sqref="E7:E26" type="list">
      <formula1>"Within Limit,Exceeds Limit,Pending Analysis"</formula1>
      <formula2>0</formula2>
    </dataValidation>
    <dataValidation allowBlank="true" errorStyle="stop" operator="between" showDropDown="false" showErrorMessage="false" showInputMessage="false" sqref="F7:F2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6" min="5" style="1" width="22"/>
    <col collapsed="false" customWidth="true" hidden="false" outlineLevel="0" max="7" min="7" style="1" width="20"/>
  </cols>
  <sheetData>
    <row r="2" customFormat="false" ht="25.5" hidden="false" customHeight="true" outlineLevel="0" collapsed="false">
      <c r="A2" s="2" t="s">
        <v>430</v>
      </c>
      <c r="B2" s="2"/>
      <c r="C2" s="2"/>
      <c r="D2" s="2"/>
      <c r="E2" s="2"/>
      <c r="F2" s="2"/>
    </row>
    <row r="3" customFormat="false" ht="15" hidden="false" customHeight="true" outlineLevel="0" collapsed="false">
      <c r="B3" s="41" t="s">
        <v>431</v>
      </c>
      <c r="C3" s="41"/>
      <c r="D3" s="41"/>
      <c r="E3" s="41"/>
      <c r="F3" s="41"/>
      <c r="G3" s="41"/>
    </row>
    <row r="5" customFormat="false" ht="31.5" hidden="false" customHeight="true" outlineLevel="0" collapsed="false">
      <c r="B5" s="7" t="s">
        <v>432</v>
      </c>
      <c r="C5" s="7" t="s">
        <v>46</v>
      </c>
      <c r="D5" s="7" t="s">
        <v>346</v>
      </c>
      <c r="E5" s="7" t="s">
        <v>433</v>
      </c>
      <c r="F5" s="7" t="s">
        <v>434</v>
      </c>
      <c r="G5" s="7" t="s">
        <v>435</v>
      </c>
    </row>
    <row r="6" customFormat="false" ht="15" hidden="false" customHeight="true" outlineLevel="0" collapsed="false">
      <c r="B6" s="42" t="s">
        <v>436</v>
      </c>
      <c r="C6" s="23" t="s">
        <v>57</v>
      </c>
      <c r="D6" s="42" t="s">
        <v>437</v>
      </c>
      <c r="E6" s="42" t="s">
        <v>438</v>
      </c>
      <c r="F6" s="42" t="s">
        <v>439</v>
      </c>
      <c r="G6" s="43" t="n">
        <v>1002</v>
      </c>
    </row>
    <row r="7" customFormat="false" ht="15" hidden="false" customHeight="true" outlineLevel="0" collapsed="false">
      <c r="B7" s="42" t="s">
        <v>440</v>
      </c>
      <c r="C7" s="23" t="s">
        <v>60</v>
      </c>
      <c r="D7" s="42" t="s">
        <v>424</v>
      </c>
      <c r="E7" s="42" t="s">
        <v>438</v>
      </c>
      <c r="F7" s="42" t="s">
        <v>441</v>
      </c>
      <c r="G7" s="43" t="n">
        <v>1794</v>
      </c>
    </row>
    <row r="8" customFormat="false" ht="15" hidden="false" customHeight="true" outlineLevel="0" collapsed="false">
      <c r="B8" s="42" t="s">
        <v>442</v>
      </c>
      <c r="C8" s="23" t="s">
        <v>62</v>
      </c>
      <c r="D8" s="42" t="s">
        <v>378</v>
      </c>
      <c r="E8" s="42" t="s">
        <v>443</v>
      </c>
      <c r="F8" s="42" t="s">
        <v>441</v>
      </c>
      <c r="G8" s="43" t="n">
        <v>1855</v>
      </c>
    </row>
    <row r="9" customFormat="false" ht="15" hidden="false" customHeight="true" outlineLevel="0" collapsed="false">
      <c r="B9" s="42" t="s">
        <v>444</v>
      </c>
      <c r="C9" s="23" t="s">
        <v>64</v>
      </c>
      <c r="D9" s="42" t="s">
        <v>445</v>
      </c>
      <c r="E9" s="42" t="s">
        <v>446</v>
      </c>
      <c r="F9" s="42" t="s">
        <v>439</v>
      </c>
      <c r="G9" s="43" t="n">
        <v>738</v>
      </c>
    </row>
    <row r="10" customFormat="false" ht="15" hidden="false" customHeight="true" outlineLevel="0" collapsed="false">
      <c r="B10" s="42" t="s">
        <v>447</v>
      </c>
      <c r="C10" s="23" t="s">
        <v>66</v>
      </c>
      <c r="D10" s="42" t="s">
        <v>448</v>
      </c>
      <c r="E10" s="42" t="s">
        <v>438</v>
      </c>
      <c r="F10" s="42" t="s">
        <v>449</v>
      </c>
      <c r="G10" s="43" t="n">
        <v>1048</v>
      </c>
    </row>
    <row r="11" customFormat="false" ht="15" hidden="false" customHeight="true" outlineLevel="0" collapsed="false">
      <c r="B11" s="42" t="s">
        <v>450</v>
      </c>
      <c r="C11" s="23" t="s">
        <v>68</v>
      </c>
      <c r="D11" s="42" t="s">
        <v>451</v>
      </c>
      <c r="E11" s="42" t="s">
        <v>438</v>
      </c>
      <c r="F11" s="42" t="s">
        <v>441</v>
      </c>
      <c r="G11" s="43" t="n">
        <v>622</v>
      </c>
    </row>
    <row r="12" customFormat="false" ht="15" hidden="false" customHeight="true" outlineLevel="0" collapsed="false">
      <c r="B12" s="42" t="s">
        <v>452</v>
      </c>
      <c r="C12" s="23" t="s">
        <v>70</v>
      </c>
      <c r="D12" s="42" t="s">
        <v>453</v>
      </c>
      <c r="E12" s="42" t="s">
        <v>438</v>
      </c>
      <c r="F12" s="42" t="s">
        <v>454</v>
      </c>
      <c r="G12" s="43" t="n">
        <v>1108</v>
      </c>
    </row>
    <row r="13" customFormat="false" ht="15" hidden="false" customHeight="true" outlineLevel="0" collapsed="false">
      <c r="B13" s="42" t="s">
        <v>455</v>
      </c>
      <c r="C13" s="23" t="s">
        <v>72</v>
      </c>
      <c r="D13" s="42" t="s">
        <v>456</v>
      </c>
      <c r="E13" s="42" t="s">
        <v>457</v>
      </c>
      <c r="F13" s="42" t="s">
        <v>439</v>
      </c>
      <c r="G13" s="43" t="n">
        <v>1050</v>
      </c>
    </row>
    <row r="14" customFormat="false" ht="15" hidden="false" customHeight="true" outlineLevel="0" collapsed="false">
      <c r="B14" s="42" t="s">
        <v>458</v>
      </c>
      <c r="C14" s="23" t="s">
        <v>74</v>
      </c>
      <c r="D14" s="42" t="s">
        <v>459</v>
      </c>
      <c r="E14" s="42" t="s">
        <v>457</v>
      </c>
      <c r="F14" s="42" t="s">
        <v>439</v>
      </c>
      <c r="G14" s="43" t="n">
        <v>1372</v>
      </c>
    </row>
    <row r="15" customFormat="false" ht="15" hidden="false" customHeight="true" outlineLevel="0" collapsed="false">
      <c r="B15" s="42" t="s">
        <v>460</v>
      </c>
      <c r="C15" s="23" t="s">
        <v>75</v>
      </c>
      <c r="D15" s="42" t="s">
        <v>461</v>
      </c>
      <c r="E15" s="42" t="s">
        <v>446</v>
      </c>
      <c r="F15" s="42" t="s">
        <v>454</v>
      </c>
      <c r="G15" s="43" t="n">
        <v>240</v>
      </c>
    </row>
    <row r="16" customFormat="false" ht="15" hidden="false" customHeight="true" outlineLevel="0" collapsed="false">
      <c r="B16" s="42" t="s">
        <v>462</v>
      </c>
      <c r="C16" s="23" t="s">
        <v>76</v>
      </c>
      <c r="D16" s="42" t="s">
        <v>463</v>
      </c>
      <c r="E16" s="42" t="s">
        <v>446</v>
      </c>
      <c r="F16" s="42" t="s">
        <v>449</v>
      </c>
      <c r="G16" s="43" t="n">
        <v>677</v>
      </c>
    </row>
    <row r="17" customFormat="false" ht="15" hidden="false" customHeight="true" outlineLevel="0" collapsed="false">
      <c r="B17" s="42" t="s">
        <v>464</v>
      </c>
      <c r="C17" s="23" t="s">
        <v>77</v>
      </c>
      <c r="D17" s="42" t="s">
        <v>465</v>
      </c>
      <c r="E17" s="42" t="s">
        <v>438</v>
      </c>
      <c r="F17" s="42" t="s">
        <v>439</v>
      </c>
      <c r="G17" s="43" t="n">
        <v>1183</v>
      </c>
    </row>
    <row r="18" customFormat="false" ht="15" hidden="false" customHeight="true" outlineLevel="0" collapsed="false">
      <c r="B18" s="42" t="s">
        <v>466</v>
      </c>
      <c r="C18" s="23" t="s">
        <v>78</v>
      </c>
      <c r="D18" s="42" t="s">
        <v>467</v>
      </c>
      <c r="E18" s="42" t="s">
        <v>446</v>
      </c>
      <c r="F18" s="42" t="s">
        <v>441</v>
      </c>
      <c r="G18" s="43" t="n">
        <v>770</v>
      </c>
    </row>
    <row r="19" customFormat="false" ht="15" hidden="false" customHeight="true" outlineLevel="0" collapsed="false">
      <c r="B19" s="42" t="s">
        <v>468</v>
      </c>
      <c r="C19" s="23" t="s">
        <v>79</v>
      </c>
      <c r="D19" s="42" t="s">
        <v>469</v>
      </c>
      <c r="E19" s="42" t="s">
        <v>438</v>
      </c>
      <c r="F19" s="42" t="s">
        <v>441</v>
      </c>
      <c r="G19" s="43" t="n">
        <v>564</v>
      </c>
    </row>
    <row r="20" customFormat="false" ht="15" hidden="false" customHeight="true" outlineLevel="0" collapsed="false">
      <c r="B20" s="42" t="s">
        <v>470</v>
      </c>
      <c r="C20" s="23" t="s">
        <v>80</v>
      </c>
      <c r="D20" s="42" t="s">
        <v>471</v>
      </c>
      <c r="E20" s="42" t="s">
        <v>457</v>
      </c>
      <c r="F20" s="42" t="s">
        <v>441</v>
      </c>
      <c r="G20" s="43" t="n">
        <v>294</v>
      </c>
    </row>
    <row r="21" customFormat="false" ht="15" hidden="false" customHeight="true" outlineLevel="0" collapsed="false">
      <c r="B21" s="42" t="s">
        <v>472</v>
      </c>
      <c r="C21" s="23" t="s">
        <v>81</v>
      </c>
      <c r="D21" s="42" t="s">
        <v>407</v>
      </c>
      <c r="E21" s="42" t="s">
        <v>457</v>
      </c>
      <c r="F21" s="42" t="s">
        <v>449</v>
      </c>
      <c r="G21" s="43" t="n">
        <v>493</v>
      </c>
    </row>
    <row r="22" customFormat="false" ht="15" hidden="false" customHeight="true" outlineLevel="0" collapsed="false">
      <c r="B22" s="42" t="s">
        <v>473</v>
      </c>
      <c r="C22" s="23" t="s">
        <v>82</v>
      </c>
      <c r="D22" s="42" t="s">
        <v>461</v>
      </c>
      <c r="E22" s="42" t="s">
        <v>438</v>
      </c>
      <c r="F22" s="42" t="s">
        <v>441</v>
      </c>
      <c r="G22" s="43" t="n">
        <v>255</v>
      </c>
    </row>
    <row r="23" customFormat="false" ht="15" hidden="false" customHeight="true" outlineLevel="0" collapsed="false">
      <c r="B23" s="42" t="s">
        <v>474</v>
      </c>
      <c r="C23" s="23" t="s">
        <v>83</v>
      </c>
      <c r="D23" s="42" t="s">
        <v>475</v>
      </c>
      <c r="E23" s="42" t="s">
        <v>457</v>
      </c>
      <c r="F23" s="42" t="s">
        <v>441</v>
      </c>
      <c r="G23" s="43" t="n">
        <v>417</v>
      </c>
    </row>
    <row r="24" customFormat="false" ht="15" hidden="false" customHeight="true" outlineLevel="0" collapsed="false">
      <c r="B24" s="42" t="s">
        <v>476</v>
      </c>
      <c r="C24" s="23" t="s">
        <v>84</v>
      </c>
      <c r="D24" s="42" t="s">
        <v>477</v>
      </c>
      <c r="E24" s="42" t="s">
        <v>457</v>
      </c>
      <c r="F24" s="42" t="s">
        <v>441</v>
      </c>
      <c r="G24" s="43" t="n">
        <v>143</v>
      </c>
    </row>
    <row r="25" customFormat="false" ht="15" hidden="false" customHeight="true" outlineLevel="0" collapsed="false">
      <c r="B25" s="42" t="s">
        <v>478</v>
      </c>
      <c r="C25" s="23" t="s">
        <v>85</v>
      </c>
      <c r="D25" s="42" t="s">
        <v>479</v>
      </c>
      <c r="E25" s="42" t="s">
        <v>438</v>
      </c>
      <c r="F25" s="42" t="s">
        <v>449</v>
      </c>
      <c r="G25" s="43" t="n">
        <v>1356</v>
      </c>
    </row>
    <row r="26" customFormat="false" ht="15" hidden="false" customHeight="true" outlineLevel="0" collapsed="false">
      <c r="B26" s="42" t="s">
        <v>480</v>
      </c>
      <c r="C26" s="23" t="s">
        <v>86</v>
      </c>
      <c r="D26" s="42" t="s">
        <v>481</v>
      </c>
      <c r="E26" s="42" t="s">
        <v>443</v>
      </c>
      <c r="F26" s="42" t="s">
        <v>441</v>
      </c>
      <c r="G26" s="43" t="n">
        <v>1011</v>
      </c>
    </row>
    <row r="27" customFormat="false" ht="15" hidden="false" customHeight="true" outlineLevel="0" collapsed="false">
      <c r="B27" s="45" t="s">
        <v>482</v>
      </c>
      <c r="C27" s="32" t="s">
        <v>87</v>
      </c>
      <c r="D27" s="45" t="s">
        <v>483</v>
      </c>
      <c r="E27" s="45" t="s">
        <v>438</v>
      </c>
      <c r="F27" s="45" t="s">
        <v>449</v>
      </c>
      <c r="G27" s="46" t="n">
        <v>155</v>
      </c>
    </row>
    <row r="28" customFormat="false" ht="15" hidden="false" customHeight="true" outlineLevel="0" collapsed="false">
      <c r="B28" s="45" t="s">
        <v>484</v>
      </c>
      <c r="C28" s="32" t="s">
        <v>88</v>
      </c>
      <c r="D28" s="45" t="s">
        <v>485</v>
      </c>
      <c r="E28" s="45" t="s">
        <v>446</v>
      </c>
      <c r="F28" s="45" t="s">
        <v>454</v>
      </c>
      <c r="G28" s="46" t="n">
        <v>1733</v>
      </c>
    </row>
    <row r="29" customFormat="false" ht="15" hidden="false" customHeight="true" outlineLevel="0" collapsed="false">
      <c r="B29" s="45" t="s">
        <v>486</v>
      </c>
      <c r="C29" s="32" t="s">
        <v>89</v>
      </c>
      <c r="D29" s="45" t="s">
        <v>487</v>
      </c>
      <c r="E29" s="45" t="s">
        <v>446</v>
      </c>
      <c r="F29" s="45" t="s">
        <v>454</v>
      </c>
      <c r="G29" s="46" t="n">
        <v>1231</v>
      </c>
    </row>
    <row r="30" customFormat="false" ht="15" hidden="false" customHeight="true" outlineLevel="0" collapsed="false">
      <c r="B30" s="45" t="s">
        <v>488</v>
      </c>
      <c r="C30" s="32" t="s">
        <v>90</v>
      </c>
      <c r="D30" s="45" t="s">
        <v>395</v>
      </c>
      <c r="E30" s="45" t="s">
        <v>443</v>
      </c>
      <c r="F30" s="45" t="s">
        <v>449</v>
      </c>
      <c r="G30" s="46" t="n">
        <v>355</v>
      </c>
    </row>
    <row r="31" customFormat="false" ht="15" hidden="false" customHeight="true" outlineLevel="0" collapsed="false">
      <c r="B31" s="45" t="s">
        <v>489</v>
      </c>
      <c r="C31" s="32" t="s">
        <v>91</v>
      </c>
      <c r="D31" s="45" t="s">
        <v>490</v>
      </c>
      <c r="E31" s="45" t="s">
        <v>443</v>
      </c>
      <c r="F31" s="45" t="s">
        <v>449</v>
      </c>
      <c r="G31" s="46" t="n">
        <v>292</v>
      </c>
    </row>
    <row r="32" customFormat="false" ht="15" hidden="false" customHeight="true" outlineLevel="0" collapsed="false">
      <c r="B32" s="45" t="s">
        <v>491</v>
      </c>
      <c r="C32" s="32" t="s">
        <v>92</v>
      </c>
      <c r="D32" s="45" t="s">
        <v>459</v>
      </c>
      <c r="E32" s="45" t="s">
        <v>446</v>
      </c>
      <c r="F32" s="45" t="s">
        <v>449</v>
      </c>
      <c r="G32" s="46" t="n">
        <v>1638</v>
      </c>
    </row>
    <row r="33" customFormat="false" ht="15" hidden="false" customHeight="true" outlineLevel="0" collapsed="false">
      <c r="B33" s="45" t="s">
        <v>492</v>
      </c>
      <c r="C33" s="32" t="s">
        <v>93</v>
      </c>
      <c r="D33" s="45" t="s">
        <v>493</v>
      </c>
      <c r="E33" s="45" t="s">
        <v>446</v>
      </c>
      <c r="F33" s="45" t="s">
        <v>439</v>
      </c>
      <c r="G33" s="46" t="n">
        <v>658</v>
      </c>
    </row>
    <row r="34" customFormat="false" ht="15" hidden="false" customHeight="true" outlineLevel="0" collapsed="false">
      <c r="B34" s="45" t="s">
        <v>494</v>
      </c>
      <c r="C34" s="32" t="s">
        <v>94</v>
      </c>
      <c r="D34" s="45" t="s">
        <v>495</v>
      </c>
      <c r="E34" s="45" t="s">
        <v>438</v>
      </c>
      <c r="F34" s="45" t="s">
        <v>454</v>
      </c>
      <c r="G34" s="46" t="n">
        <v>1298</v>
      </c>
    </row>
    <row r="35" customFormat="false" ht="15" hidden="false" customHeight="true" outlineLevel="0" collapsed="false">
      <c r="B35" s="45" t="s">
        <v>496</v>
      </c>
      <c r="C35" s="32" t="s">
        <v>95</v>
      </c>
      <c r="D35" s="45" t="s">
        <v>497</v>
      </c>
      <c r="E35" s="45" t="s">
        <v>457</v>
      </c>
      <c r="F35" s="45" t="s">
        <v>449</v>
      </c>
      <c r="G35" s="46" t="n">
        <v>591</v>
      </c>
    </row>
    <row r="36" customFormat="false" ht="15" hidden="false" customHeight="true" outlineLevel="0" collapsed="false">
      <c r="B36" s="45" t="s">
        <v>498</v>
      </c>
      <c r="C36" s="32" t="s">
        <v>96</v>
      </c>
      <c r="D36" s="45" t="s">
        <v>356</v>
      </c>
      <c r="E36" s="45" t="s">
        <v>457</v>
      </c>
      <c r="F36" s="45" t="s">
        <v>449</v>
      </c>
      <c r="G36" s="46" t="n">
        <v>405</v>
      </c>
    </row>
    <row r="37" customFormat="false" ht="15" hidden="false" customHeight="true" outlineLevel="0" collapsed="false">
      <c r="B37" s="45" t="s">
        <v>499</v>
      </c>
      <c r="C37" s="32" t="s">
        <v>97</v>
      </c>
      <c r="D37" s="45" t="s">
        <v>500</v>
      </c>
      <c r="E37" s="45" t="s">
        <v>457</v>
      </c>
      <c r="F37" s="45" t="s">
        <v>454</v>
      </c>
      <c r="G37" s="46" t="n">
        <v>886</v>
      </c>
    </row>
    <row r="38" customFormat="false" ht="15" hidden="false" customHeight="true" outlineLevel="0" collapsed="false">
      <c r="B38" s="45" t="s">
        <v>501</v>
      </c>
      <c r="C38" s="32" t="s">
        <v>98</v>
      </c>
      <c r="D38" s="45" t="s">
        <v>502</v>
      </c>
      <c r="E38" s="45" t="s">
        <v>446</v>
      </c>
      <c r="F38" s="45" t="s">
        <v>441</v>
      </c>
      <c r="G38" s="46" t="n">
        <v>116</v>
      </c>
    </row>
    <row r="39" customFormat="false" ht="15" hidden="false" customHeight="true" outlineLevel="0" collapsed="false">
      <c r="B39" s="45" t="s">
        <v>503</v>
      </c>
      <c r="C39" s="32" t="s">
        <v>99</v>
      </c>
      <c r="D39" s="45" t="s">
        <v>475</v>
      </c>
      <c r="E39" s="45" t="s">
        <v>438</v>
      </c>
      <c r="F39" s="45" t="s">
        <v>439</v>
      </c>
      <c r="G39" s="46" t="n">
        <v>195</v>
      </c>
    </row>
    <row r="40" customFormat="false" ht="15" hidden="false" customHeight="true" outlineLevel="0" collapsed="false">
      <c r="B40" s="45" t="s">
        <v>504</v>
      </c>
      <c r="C40" s="32" t="s">
        <v>100</v>
      </c>
      <c r="D40" s="45" t="s">
        <v>505</v>
      </c>
      <c r="E40" s="45" t="s">
        <v>438</v>
      </c>
      <c r="F40" s="45" t="s">
        <v>449</v>
      </c>
      <c r="G40" s="46" t="n">
        <v>920</v>
      </c>
    </row>
    <row r="41" customFormat="false" ht="15" hidden="false" customHeight="true" outlineLevel="0" collapsed="false">
      <c r="B41" s="45" t="s">
        <v>506</v>
      </c>
      <c r="C41" s="32" t="s">
        <v>101</v>
      </c>
      <c r="D41" s="45" t="s">
        <v>507</v>
      </c>
      <c r="E41" s="45" t="s">
        <v>457</v>
      </c>
      <c r="F41" s="45" t="s">
        <v>449</v>
      </c>
      <c r="G41" s="46" t="n">
        <v>1910</v>
      </c>
    </row>
    <row r="43" customFormat="false" ht="15" hidden="false" customHeight="true" outlineLevel="0" collapsed="false">
      <c r="B43" s="36" t="s">
        <v>508</v>
      </c>
      <c r="C43" s="36" t="n">
        <f aca="false">COUNTA(B6:B41)</f>
        <v>36</v>
      </c>
    </row>
    <row r="44" customFormat="false" ht="15" hidden="false" customHeight="true" outlineLevel="0" collapsed="false">
      <c r="B44" s="36" t="s">
        <v>509</v>
      </c>
      <c r="C44" s="36" t="n">
        <f aca="false">COUNTIF(E6:E41,"School Collection Drive")+COUNTIF(E6:E41,"RWA/Community Drive")</f>
        <v>14</v>
      </c>
    </row>
    <row r="45" customFormat="false" ht="15" hidden="false" customHeight="true" outlineLevel="0" collapsed="false">
      <c r="B45" s="36" t="s">
        <v>510</v>
      </c>
      <c r="C45" s="36" t="n">
        <f aca="false">SUM(G6:G41)</f>
        <v>30375</v>
      </c>
    </row>
  </sheetData>
  <mergeCells count="2">
    <mergeCell ref="A2:F2"/>
    <mergeCell ref="B3:G3"/>
  </mergeCells>
  <dataValidations count="1">
    <dataValidation allowBlank="true" errorStyle="stop" operator="between" showDropDown="false" showErrorMessage="false" showInputMessage="false" sqref="D7:D26" type="list">
      <formula1>"Awareness Campaign,School Collection Drive,RWA/Community Drive,Industry Outreach,Media Campaign"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09E0C8EC-0718-47A6-8B08-5060A95093F0}"/>
</file>

<file path=customXml/itemProps2.xml><?xml version="1.0" encoding="utf-8"?>
<ds:datastoreItem xmlns:ds="http://schemas.openxmlformats.org/officeDocument/2006/customXml" ds:itemID="{2B99D09A-C867-4CC5-ADC0-09049F6EE914}"/>
</file>

<file path=customXml/itemProps3.xml><?xml version="1.0" encoding="utf-8"?>
<ds:datastoreItem xmlns:ds="http://schemas.openxmlformats.org/officeDocument/2006/customXml" ds:itemID="{5DD2D462-3D43-4261-8C2F-40F18AD7BF2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2026-07-16T04:20:02Z</dcterms:created>
  <dcterms:modified xsi:type="dcterms:W3CDTF">2026-08-02T09:59:25Z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